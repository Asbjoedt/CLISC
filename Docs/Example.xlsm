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bjo\Desktop\"/>
    </mc:Choice>
  </mc:AlternateContent>
  <xr:revisionPtr revIDLastSave="0" documentId="13_ncr:1_{7C5C0075-9982-4DC1-8EC5-E0074CF650ED}" xr6:coauthVersionLast="47" xr6:coauthVersionMax="47" xr10:uidLastSave="{00000000-0000-0000-0000-000000000000}"/>
  <bookViews>
    <workbookView xWindow="3120" yWindow="2340" windowWidth="23400" windowHeight="13140" firstSheet="2" activeTab="2" xr2:uid="{00000000-000D-0000-FFFF-FFFF00000000}"/>
  </bookViews>
  <sheets>
    <sheet name="DATA_VALID" sheetId="6" state="hidden" r:id="rId1"/>
    <sheet name="SETUP" sheetId="7" state="hidden" r:id="rId2"/>
    <sheet name="BUDGET" sheetId="2" r:id="rId3"/>
    <sheet name="FORBRUG" sheetId="5" r:id="rId4"/>
  </sheets>
  <definedNames>
    <definedName name="aktivitet_fra">SETUP!$F$21</definedName>
    <definedName name="aktivitet_til">SETUP!$J$21</definedName>
    <definedName name="artskonto_fra">SETUP!$F$19</definedName>
    <definedName name="artskonto_til">SETUP!$J$19</definedName>
    <definedName name="budget">BUDGET!$A$117:$Q$144</definedName>
    <definedName name="data_validering">DATA_VALID!$B$6:$B$8</definedName>
    <definedName name="delregnskab_fra">SETUP!$F$25</definedName>
    <definedName name="delregnskab_til">SETUP!$J$25</definedName>
    <definedName name="omkostningssted_fra">SETUP!$F$27</definedName>
    <definedName name="omkostningssted_til">SETUP!$J$27</definedName>
    <definedName name="prognose1">BUDGET!$A$80:$Q$107</definedName>
    <definedName name="prognose2">BUDGET!$A$43:$Q$70</definedName>
    <definedName name="prognose3">BUDGET!$A$6:$Q$33</definedName>
    <definedName name="projekt_fra">SETUP!$F$23</definedName>
    <definedName name="projekt_til">SETUP!$J$23</definedName>
    <definedName name="tbl_dimensions">SETUP!$C$19:$J$29</definedName>
    <definedName name="title">SETUP!$F$10</definedName>
    <definedName name="type">SETUP!$F$29</definedName>
    <definedName name="year">SETUP!$F$8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07" i="2" l="1"/>
  <c r="O107" i="2"/>
  <c r="N107" i="2"/>
  <c r="M107" i="2"/>
  <c r="L107" i="2"/>
  <c r="K107" i="2"/>
  <c r="J107" i="2"/>
  <c r="I107" i="2"/>
  <c r="H107" i="2"/>
  <c r="Q145" i="2" l="1"/>
  <c r="P33" i="2" l="1"/>
  <c r="O33" i="2"/>
  <c r="N33" i="2"/>
  <c r="P70" i="2" l="1"/>
  <c r="O70" i="2"/>
  <c r="N70" i="2"/>
  <c r="M70" i="2"/>
  <c r="L70" i="2"/>
  <c r="K70" i="2"/>
  <c r="G108" i="2" l="1"/>
  <c r="F108" i="2"/>
  <c r="E108" i="2"/>
  <c r="J71" i="2"/>
  <c r="I71" i="2"/>
  <c r="H71" i="2"/>
  <c r="G71" i="2"/>
  <c r="F71" i="2"/>
  <c r="E71" i="2"/>
  <c r="M34" i="2"/>
  <c r="L34" i="2"/>
  <c r="K34" i="2"/>
  <c r="J34" i="2"/>
  <c r="I34" i="2"/>
  <c r="H34" i="2"/>
  <c r="G34" i="2"/>
  <c r="F34" i="2"/>
  <c r="E34" i="2"/>
  <c r="D1" i="2" l="1"/>
  <c r="J26" i="7" l="1"/>
  <c r="F26" i="7"/>
  <c r="J24" i="7"/>
  <c r="F24" i="7"/>
  <c r="J22" i="7"/>
  <c r="F22" i="7"/>
  <c r="J20" i="7"/>
  <c r="F20" i="7"/>
  <c r="B1" i="7" l="1"/>
  <c r="M32" i="2" l="1"/>
  <c r="L32" i="2"/>
  <c r="K32" i="2"/>
  <c r="J32" i="2"/>
  <c r="I32" i="2"/>
  <c r="H32" i="2"/>
  <c r="G32" i="2"/>
  <c r="F32" i="2"/>
  <c r="E32" i="2"/>
  <c r="M31" i="2"/>
  <c r="L31" i="2"/>
  <c r="K31" i="2"/>
  <c r="J31" i="2"/>
  <c r="I31" i="2"/>
  <c r="H31" i="2"/>
  <c r="G31" i="2"/>
  <c r="F31" i="2"/>
  <c r="E31" i="2"/>
  <c r="M30" i="2"/>
  <c r="L30" i="2"/>
  <c r="K30" i="2"/>
  <c r="J30" i="2"/>
  <c r="I30" i="2"/>
  <c r="H30" i="2"/>
  <c r="G30" i="2"/>
  <c r="F30" i="2"/>
  <c r="E30" i="2"/>
  <c r="M29" i="2"/>
  <c r="L29" i="2"/>
  <c r="K29" i="2"/>
  <c r="J29" i="2"/>
  <c r="I29" i="2"/>
  <c r="H29" i="2"/>
  <c r="G29" i="2"/>
  <c r="F29" i="2"/>
  <c r="E29" i="2"/>
  <c r="M28" i="2"/>
  <c r="L28" i="2"/>
  <c r="K28" i="2"/>
  <c r="J28" i="2"/>
  <c r="I28" i="2"/>
  <c r="H28" i="2"/>
  <c r="G28" i="2"/>
  <c r="F28" i="2"/>
  <c r="E28" i="2"/>
  <c r="M27" i="2"/>
  <c r="L27" i="2"/>
  <c r="K27" i="2"/>
  <c r="J27" i="2"/>
  <c r="I27" i="2"/>
  <c r="H27" i="2"/>
  <c r="G27" i="2"/>
  <c r="F27" i="2"/>
  <c r="E27" i="2"/>
  <c r="M26" i="2"/>
  <c r="L26" i="2"/>
  <c r="K26" i="2"/>
  <c r="J26" i="2"/>
  <c r="I26" i="2"/>
  <c r="H26" i="2"/>
  <c r="G26" i="2"/>
  <c r="F26" i="2"/>
  <c r="E26" i="2"/>
  <c r="M25" i="2"/>
  <c r="L25" i="2"/>
  <c r="K25" i="2"/>
  <c r="J25" i="2"/>
  <c r="I25" i="2"/>
  <c r="H25" i="2"/>
  <c r="G25" i="2"/>
  <c r="F25" i="2"/>
  <c r="E25" i="2"/>
  <c r="M24" i="2"/>
  <c r="L24" i="2"/>
  <c r="K24" i="2"/>
  <c r="J24" i="2"/>
  <c r="I24" i="2"/>
  <c r="H24" i="2"/>
  <c r="G24" i="2"/>
  <c r="F24" i="2"/>
  <c r="E24" i="2"/>
  <c r="M23" i="2"/>
  <c r="L23" i="2"/>
  <c r="K23" i="2"/>
  <c r="J23" i="2"/>
  <c r="I23" i="2"/>
  <c r="H23" i="2"/>
  <c r="G23" i="2"/>
  <c r="F23" i="2"/>
  <c r="E23" i="2"/>
  <c r="M22" i="2"/>
  <c r="L22" i="2"/>
  <c r="K22" i="2"/>
  <c r="J22" i="2"/>
  <c r="I22" i="2"/>
  <c r="H22" i="2"/>
  <c r="G22" i="2"/>
  <c r="F22" i="2"/>
  <c r="E22" i="2"/>
  <c r="M21" i="2"/>
  <c r="L21" i="2"/>
  <c r="K21" i="2"/>
  <c r="J21" i="2"/>
  <c r="I21" i="2"/>
  <c r="H21" i="2"/>
  <c r="G21" i="2"/>
  <c r="F21" i="2"/>
  <c r="E21" i="2"/>
  <c r="M20" i="2"/>
  <c r="L20" i="2"/>
  <c r="K20" i="2"/>
  <c r="J20" i="2"/>
  <c r="I20" i="2"/>
  <c r="H20" i="2"/>
  <c r="G20" i="2"/>
  <c r="F20" i="2"/>
  <c r="E20" i="2"/>
  <c r="M18" i="2"/>
  <c r="L18" i="2"/>
  <c r="K18" i="2"/>
  <c r="J18" i="2"/>
  <c r="I18" i="2"/>
  <c r="H18" i="2"/>
  <c r="G18" i="2"/>
  <c r="F18" i="2"/>
  <c r="E18" i="2"/>
  <c r="M17" i="2"/>
  <c r="L17" i="2"/>
  <c r="K17" i="2"/>
  <c r="J17" i="2"/>
  <c r="I17" i="2"/>
  <c r="H17" i="2"/>
  <c r="G17" i="2"/>
  <c r="F17" i="2"/>
  <c r="E17" i="2"/>
  <c r="M16" i="2"/>
  <c r="L16" i="2"/>
  <c r="K16" i="2"/>
  <c r="J16" i="2"/>
  <c r="I16" i="2"/>
  <c r="H16" i="2"/>
  <c r="G16" i="2"/>
  <c r="F16" i="2"/>
  <c r="E16" i="2"/>
  <c r="M15" i="2"/>
  <c r="L15" i="2"/>
  <c r="K15" i="2"/>
  <c r="J15" i="2"/>
  <c r="I15" i="2"/>
  <c r="H15" i="2"/>
  <c r="G15" i="2"/>
  <c r="F15" i="2"/>
  <c r="E15" i="2"/>
  <c r="M14" i="2"/>
  <c r="L14" i="2"/>
  <c r="K14" i="2"/>
  <c r="J14" i="2"/>
  <c r="I14" i="2"/>
  <c r="H14" i="2"/>
  <c r="G14" i="2"/>
  <c r="F14" i="2"/>
  <c r="E14" i="2"/>
  <c r="M13" i="2"/>
  <c r="L13" i="2"/>
  <c r="K13" i="2"/>
  <c r="J13" i="2"/>
  <c r="I13" i="2"/>
  <c r="H13" i="2"/>
  <c r="G13" i="2"/>
  <c r="F13" i="2"/>
  <c r="E13" i="2"/>
  <c r="M12" i="2"/>
  <c r="L12" i="2"/>
  <c r="K12" i="2"/>
  <c r="J12" i="2"/>
  <c r="I12" i="2"/>
  <c r="H12" i="2"/>
  <c r="G12" i="2"/>
  <c r="F12" i="2"/>
  <c r="E12" i="2"/>
  <c r="M11" i="2"/>
  <c r="L11" i="2"/>
  <c r="K11" i="2"/>
  <c r="J11" i="2"/>
  <c r="I11" i="2"/>
  <c r="H11" i="2"/>
  <c r="G11" i="2"/>
  <c r="F11" i="2"/>
  <c r="E11" i="2"/>
  <c r="M10" i="2"/>
  <c r="L10" i="2"/>
  <c r="K10" i="2"/>
  <c r="J10" i="2"/>
  <c r="I10" i="2"/>
  <c r="H10" i="2"/>
  <c r="G10" i="2"/>
  <c r="F10" i="2"/>
  <c r="E10" i="2"/>
  <c r="M9" i="2"/>
  <c r="L9" i="2"/>
  <c r="K9" i="2"/>
  <c r="J9" i="2"/>
  <c r="I9" i="2"/>
  <c r="H9" i="2"/>
  <c r="G9" i="2"/>
  <c r="F9" i="2"/>
  <c r="E9" i="2"/>
  <c r="M8" i="2"/>
  <c r="L8" i="2"/>
  <c r="K8" i="2"/>
  <c r="J8" i="2"/>
  <c r="I8" i="2"/>
  <c r="H8" i="2"/>
  <c r="G8" i="2"/>
  <c r="F8" i="2"/>
  <c r="E8" i="2"/>
  <c r="J69" i="2"/>
  <c r="I69" i="2"/>
  <c r="H69" i="2"/>
  <c r="G69" i="2"/>
  <c r="F69" i="2"/>
  <c r="E69" i="2"/>
  <c r="J68" i="2"/>
  <c r="I68" i="2"/>
  <c r="H68" i="2"/>
  <c r="G68" i="2"/>
  <c r="F68" i="2"/>
  <c r="E68" i="2"/>
  <c r="J67" i="2"/>
  <c r="I67" i="2"/>
  <c r="H67" i="2"/>
  <c r="G67" i="2"/>
  <c r="F67" i="2"/>
  <c r="E67" i="2"/>
  <c r="J66" i="2"/>
  <c r="I66" i="2"/>
  <c r="H66" i="2"/>
  <c r="G66" i="2"/>
  <c r="F66" i="2"/>
  <c r="E66" i="2"/>
  <c r="J65" i="2"/>
  <c r="I65" i="2"/>
  <c r="H65" i="2"/>
  <c r="G65" i="2"/>
  <c r="F65" i="2"/>
  <c r="E65" i="2"/>
  <c r="J64" i="2"/>
  <c r="I64" i="2"/>
  <c r="H64" i="2"/>
  <c r="G64" i="2"/>
  <c r="F64" i="2"/>
  <c r="E64" i="2"/>
  <c r="J63" i="2"/>
  <c r="I63" i="2"/>
  <c r="H63" i="2"/>
  <c r="G63" i="2"/>
  <c r="F63" i="2"/>
  <c r="E63" i="2"/>
  <c r="J62" i="2"/>
  <c r="I62" i="2"/>
  <c r="H62" i="2"/>
  <c r="G62" i="2"/>
  <c r="F62" i="2"/>
  <c r="E62" i="2"/>
  <c r="J61" i="2"/>
  <c r="I61" i="2"/>
  <c r="H61" i="2"/>
  <c r="G61" i="2"/>
  <c r="F61" i="2"/>
  <c r="E61" i="2"/>
  <c r="J60" i="2"/>
  <c r="I60" i="2"/>
  <c r="H60" i="2"/>
  <c r="G60" i="2"/>
  <c r="F60" i="2"/>
  <c r="E60" i="2"/>
  <c r="J59" i="2"/>
  <c r="I59" i="2"/>
  <c r="H59" i="2"/>
  <c r="G59" i="2"/>
  <c r="F59" i="2"/>
  <c r="E59" i="2"/>
  <c r="J58" i="2"/>
  <c r="I58" i="2"/>
  <c r="H58" i="2"/>
  <c r="G58" i="2"/>
  <c r="F58" i="2"/>
  <c r="E58" i="2"/>
  <c r="J57" i="2"/>
  <c r="I57" i="2"/>
  <c r="H57" i="2"/>
  <c r="G57" i="2"/>
  <c r="F57" i="2"/>
  <c r="E57" i="2"/>
  <c r="J55" i="2"/>
  <c r="I55" i="2"/>
  <c r="H55" i="2"/>
  <c r="G55" i="2"/>
  <c r="F55" i="2"/>
  <c r="E55" i="2"/>
  <c r="J54" i="2"/>
  <c r="I54" i="2"/>
  <c r="H54" i="2"/>
  <c r="G54" i="2"/>
  <c r="F54" i="2"/>
  <c r="E54" i="2"/>
  <c r="J53" i="2"/>
  <c r="I53" i="2"/>
  <c r="H53" i="2"/>
  <c r="G53" i="2"/>
  <c r="F53" i="2"/>
  <c r="E53" i="2"/>
  <c r="J52" i="2"/>
  <c r="I52" i="2"/>
  <c r="H52" i="2"/>
  <c r="G52" i="2"/>
  <c r="F52" i="2"/>
  <c r="E52" i="2"/>
  <c r="J51" i="2"/>
  <c r="I51" i="2"/>
  <c r="H51" i="2"/>
  <c r="G51" i="2"/>
  <c r="F51" i="2"/>
  <c r="E51" i="2"/>
  <c r="J50" i="2"/>
  <c r="I50" i="2"/>
  <c r="H50" i="2"/>
  <c r="G50" i="2"/>
  <c r="F50" i="2"/>
  <c r="E50" i="2"/>
  <c r="J49" i="2"/>
  <c r="I49" i="2"/>
  <c r="H49" i="2"/>
  <c r="G49" i="2"/>
  <c r="F49" i="2"/>
  <c r="E49" i="2"/>
  <c r="J48" i="2"/>
  <c r="I48" i="2"/>
  <c r="H48" i="2"/>
  <c r="G48" i="2"/>
  <c r="F48" i="2"/>
  <c r="E48" i="2"/>
  <c r="J47" i="2"/>
  <c r="I47" i="2"/>
  <c r="H47" i="2"/>
  <c r="G47" i="2"/>
  <c r="F47" i="2"/>
  <c r="E47" i="2"/>
  <c r="J46" i="2"/>
  <c r="I46" i="2"/>
  <c r="H46" i="2"/>
  <c r="G46" i="2"/>
  <c r="F46" i="2"/>
  <c r="E46" i="2"/>
  <c r="J45" i="2"/>
  <c r="I45" i="2"/>
  <c r="H45" i="2"/>
  <c r="G45" i="2"/>
  <c r="F45" i="2"/>
  <c r="E45" i="2"/>
  <c r="G106" i="2"/>
  <c r="F106" i="2"/>
  <c r="E106" i="2"/>
  <c r="G105" i="2"/>
  <c r="F105" i="2"/>
  <c r="E105" i="2"/>
  <c r="G104" i="2"/>
  <c r="F104" i="2"/>
  <c r="E104" i="2"/>
  <c r="G103" i="2"/>
  <c r="F103" i="2"/>
  <c r="E103" i="2"/>
  <c r="G102" i="2"/>
  <c r="F102" i="2"/>
  <c r="E102" i="2"/>
  <c r="G101" i="2"/>
  <c r="F101" i="2"/>
  <c r="E101" i="2"/>
  <c r="G100" i="2"/>
  <c r="F100" i="2"/>
  <c r="E100" i="2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G94" i="2"/>
  <c r="F94" i="2"/>
  <c r="E94" i="2"/>
  <c r="G92" i="2"/>
  <c r="F92" i="2"/>
  <c r="E92" i="2"/>
  <c r="G91" i="2"/>
  <c r="F91" i="2"/>
  <c r="E91" i="2"/>
  <c r="G90" i="2"/>
  <c r="F90" i="2"/>
  <c r="E90" i="2"/>
  <c r="G89" i="2"/>
  <c r="F89" i="2"/>
  <c r="E89" i="2"/>
  <c r="G88" i="2"/>
  <c r="F88" i="2"/>
  <c r="E88" i="2"/>
  <c r="G87" i="2"/>
  <c r="F87" i="2"/>
  <c r="E87" i="2"/>
  <c r="G86" i="2"/>
  <c r="F86" i="2"/>
  <c r="E86" i="2"/>
  <c r="G85" i="2"/>
  <c r="F85" i="2"/>
  <c r="E85" i="2"/>
  <c r="G84" i="2"/>
  <c r="F84" i="2"/>
  <c r="E84" i="2"/>
  <c r="G83" i="2"/>
  <c r="F83" i="2"/>
  <c r="E83" i="2"/>
  <c r="G82" i="2"/>
  <c r="F82" i="2"/>
  <c r="E82" i="2"/>
  <c r="Q85" i="2" l="1"/>
  <c r="Q89" i="2"/>
  <c r="Q94" i="2"/>
  <c r="Q98" i="2"/>
  <c r="Q102" i="2"/>
  <c r="Q106" i="2"/>
  <c r="Q84" i="2"/>
  <c r="Q88" i="2"/>
  <c r="Q92" i="2"/>
  <c r="Q105" i="2"/>
  <c r="Q82" i="2"/>
  <c r="Q86" i="2"/>
  <c r="Q90" i="2"/>
  <c r="Q95" i="2"/>
  <c r="Q99" i="2"/>
  <c r="Q103" i="2"/>
  <c r="Q97" i="2"/>
  <c r="Q101" i="2"/>
  <c r="Q83" i="2"/>
  <c r="Q87" i="2"/>
  <c r="Q91" i="2"/>
  <c r="Q96" i="2"/>
  <c r="Q100" i="2"/>
  <c r="Q104" i="2"/>
  <c r="Q12" i="2"/>
  <c r="Q21" i="2"/>
  <c r="Q29" i="2"/>
  <c r="Q25" i="2"/>
  <c r="Q8" i="2"/>
  <c r="Q16" i="2"/>
  <c r="Q9" i="2"/>
  <c r="Q13" i="2"/>
  <c r="Q17" i="2"/>
  <c r="Q22" i="2"/>
  <c r="Q26" i="2"/>
  <c r="Q30" i="2"/>
  <c r="Q10" i="2"/>
  <c r="Q14" i="2"/>
  <c r="Q18" i="2"/>
  <c r="Q23" i="2"/>
  <c r="Q27" i="2"/>
  <c r="Q31" i="2"/>
  <c r="Q11" i="2"/>
  <c r="Q15" i="2"/>
  <c r="Q20" i="2"/>
  <c r="Q24" i="2"/>
  <c r="Q28" i="2"/>
  <c r="Q32" i="2"/>
  <c r="Q45" i="2"/>
  <c r="Q47" i="2"/>
  <c r="Q49" i="2"/>
  <c r="Q51" i="2"/>
  <c r="Q55" i="2"/>
  <c r="Q58" i="2"/>
  <c r="Q60" i="2"/>
  <c r="Q62" i="2"/>
  <c r="Q66" i="2"/>
  <c r="Q68" i="2"/>
  <c r="Q46" i="2"/>
  <c r="Q61" i="2"/>
  <c r="Q63" i="2"/>
  <c r="Q65" i="2"/>
  <c r="Q67" i="2"/>
  <c r="Q69" i="2"/>
  <c r="Q53" i="2"/>
  <c r="Q64" i="2"/>
  <c r="Q48" i="2"/>
  <c r="Q50" i="2"/>
  <c r="Q52" i="2"/>
  <c r="Q54" i="2"/>
  <c r="Q57" i="2"/>
  <c r="Q59" i="2"/>
  <c r="Q141" i="2"/>
  <c r="Q140" i="2"/>
  <c r="Q139" i="2"/>
  <c r="Q138" i="2"/>
  <c r="Q137" i="2"/>
  <c r="Q136" i="2"/>
  <c r="Q128" i="2"/>
  <c r="Q127" i="2"/>
  <c r="Q126" i="2"/>
  <c r="Q125" i="2"/>
  <c r="Q124" i="2"/>
  <c r="Q123" i="2"/>
  <c r="Q122" i="2"/>
  <c r="P144" i="2" l="1"/>
  <c r="O144" i="2"/>
  <c r="N144" i="2"/>
  <c r="M144" i="2"/>
  <c r="L144" i="2"/>
  <c r="K144" i="2"/>
  <c r="J144" i="2"/>
  <c r="I144" i="2"/>
  <c r="H144" i="2"/>
  <c r="G144" i="2"/>
  <c r="F144" i="2"/>
  <c r="E144" i="2"/>
  <c r="Q144" i="2" l="1"/>
  <c r="Q146" i="2" s="1"/>
  <c r="Q142" i="2"/>
  <c r="Q135" i="2" l="1"/>
  <c r="Q134" i="2"/>
  <c r="Q133" i="2"/>
  <c r="Q132" i="2"/>
  <c r="Q131" i="2"/>
  <c r="Q129" i="2"/>
  <c r="Q121" i="2"/>
  <c r="Q120" i="2"/>
  <c r="Q119" i="2"/>
  <c r="E70" i="2" l="1"/>
  <c r="G70" i="2"/>
  <c r="G72" i="2" s="1"/>
  <c r="F70" i="2"/>
  <c r="F72" i="2" s="1"/>
  <c r="E72" i="2" l="1"/>
  <c r="G107" i="2"/>
  <c r="G109" i="2" s="1"/>
  <c r="F107" i="2" l="1"/>
  <c r="F109" i="2" s="1"/>
  <c r="E107" i="2"/>
  <c r="J70" i="2"/>
  <c r="J72" i="2" s="1"/>
  <c r="I70" i="2"/>
  <c r="I72" i="2" s="1"/>
  <c r="H70" i="2"/>
  <c r="M33" i="2"/>
  <c r="M35" i="2" s="1"/>
  <c r="L33" i="2"/>
  <c r="L35" i="2" s="1"/>
  <c r="K33" i="2"/>
  <c r="K35" i="2" s="1"/>
  <c r="J33" i="2"/>
  <c r="J35" i="2" s="1"/>
  <c r="I33" i="2"/>
  <c r="I35" i="2" s="1"/>
  <c r="H33" i="2"/>
  <c r="H35" i="2" s="1"/>
  <c r="G33" i="2"/>
  <c r="G35" i="2" s="1"/>
  <c r="F33" i="2"/>
  <c r="F35" i="2" s="1"/>
  <c r="E33" i="2"/>
  <c r="Q107" i="2" l="1"/>
  <c r="E35" i="2"/>
  <c r="Q33" i="2"/>
  <c r="Q70" i="2"/>
  <c r="H72" i="2"/>
  <c r="E109" i="2"/>
  <c r="P40" i="2"/>
  <c r="Q40" i="2" s="1"/>
  <c r="P77" i="2"/>
  <c r="Q77" i="2" s="1"/>
  <c r="Q36" i="2" l="1"/>
  <c r="Q73" i="2"/>
  <c r="Q143" i="2" l="1"/>
</calcChain>
</file>

<file path=xl/sharedStrings.xml><?xml version="1.0" encoding="utf-8"?>
<sst xmlns="http://schemas.openxmlformats.org/spreadsheetml/2006/main" count="293" uniqueCount="108">
  <si>
    <t>Total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</si>
  <si>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</si>
  <si>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</si>
  <si>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</si>
  <si>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</si>
  <si>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</si>
  <si>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</si>
  <si>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</si>
  <si>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</si>
  <si>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</si>
  <si>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</si>
  <si>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</si>
  <si>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</si>
  <si>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GRUNDBUDGET</t>
  </si>
  <si>
    <t>-----------------------------------------------Regnskabstal-----------------------------------------------</t>
  </si>
  <si>
    <t>3. REVISION OKTOBER</t>
  </si>
  <si>
    <t>Budgetafvigelse</t>
  </si>
  <si>
    <t>i 3. kvartal:</t>
  </si>
  <si>
    <t>Kroner</t>
  </si>
  <si>
    <t>Procent</t>
  </si>
  <si>
    <t>I alt…………………………………….</t>
  </si>
  <si>
    <t>---------------------------Regnskabstal---------------------------</t>
  </si>
  <si>
    <t>2. REVISION JULI</t>
  </si>
  <si>
    <t>i 2. kvartal:</t>
  </si>
  <si>
    <t>------------Regnskabstal------------</t>
  </si>
  <si>
    <t>1. REVISION APRIL</t>
  </si>
  <si>
    <t>Ændring i forhold til seneste prognose:</t>
  </si>
  <si>
    <t>Omkostningssted</t>
  </si>
  <si>
    <t>Aktivitet</t>
  </si>
  <si>
    <t>Projekt</t>
  </si>
  <si>
    <t>Udvikling og drift</t>
  </si>
  <si>
    <t>Tidslinje1</t>
  </si>
  <si>
    <t>Webdesign</t>
  </si>
  <si>
    <t>Programmering</t>
  </si>
  <si>
    <t>Skolekonsulenter, fokusgrupper</t>
  </si>
  <si>
    <t>Software/licens</t>
  </si>
  <si>
    <t>Markedsføring</t>
  </si>
  <si>
    <t>Annoncer</t>
  </si>
  <si>
    <t>Skolemesser, læringsfestival, øvrige messer</t>
  </si>
  <si>
    <t>Andet</t>
  </si>
  <si>
    <t>Evt. Ifølgedanskerne pilotprojekt</t>
  </si>
  <si>
    <t>Title</t>
  </si>
  <si>
    <t>ID</t>
  </si>
  <si>
    <t>Import</t>
  </si>
  <si>
    <t>Export</t>
  </si>
  <si>
    <t>Artskonto</t>
  </si>
  <si>
    <t>Delregnskab</t>
  </si>
  <si>
    <t>Type</t>
  </si>
  <si>
    <t>Omkostninger</t>
  </si>
  <si>
    <t>Ex-1031</t>
  </si>
  <si>
    <t>Data validering</t>
  </si>
  <si>
    <t>Datavalidering til valg af import og export i budget-fanen</t>
  </si>
  <si>
    <t>INPUT DATA</t>
  </si>
  <si>
    <t>Skift årstal</t>
  </si>
  <si>
    <t>Skift overskrift</t>
  </si>
  <si>
    <t>DATA SPECIFIKATION</t>
  </si>
  <si>
    <t xml:space="preserve"> - NB: Her indtastes de afgrænsninger der er tilknyttes realiseret data ved data import.</t>
  </si>
  <si>
    <t>-</t>
  </si>
  <si>
    <t>CLEAR DATA</t>
  </si>
  <si>
    <t xml:space="preserve">- NB: Denne del giver mulighed for at slette eventuelt tidligere data, hvis skabelonen eksempelvis skal bruges til genering af ny template.  </t>
  </si>
  <si>
    <t>Tøm skabelon</t>
  </si>
  <si>
    <t>Operator</t>
  </si>
  <si>
    <t>=</t>
  </si>
  <si>
    <t>Indtægter</t>
  </si>
  <si>
    <t>≠</t>
  </si>
  <si>
    <t>Lønudgifter</t>
  </si>
  <si>
    <t>&amp;</t>
  </si>
  <si>
    <t xml:space="preserve">       - Artskonto og Type er IKKE interval, men enkeltstående værdier der kan tilvælges/fravælges</t>
  </si>
  <si>
    <t xml:space="preserve">       - Resten er interval, hvor der altid skal være en fra og til værdi hvis der er en begrænsning</t>
  </si>
  <si>
    <t>Kontrol</t>
  </si>
  <si>
    <t>Manglende beløb til fordeling</t>
  </si>
  <si>
    <t>Total fordeling i fanen FORBRUG</t>
  </si>
  <si>
    <t>Til fordeling i fanen FORBRUG</t>
  </si>
  <si>
    <t>aktivitet 517 Undervisningsprogrammer og skoler</t>
  </si>
  <si>
    <t>Skoletjeneste</t>
  </si>
  <si>
    <t>Bevillingsramme:</t>
  </si>
  <si>
    <t>Tryk og layout af markedsføringsmaterialer</t>
  </si>
  <si>
    <t>Film om kildekritik</t>
  </si>
  <si>
    <t>Det digitale stamtræ</t>
  </si>
  <si>
    <t>Hosting, mm ifm stamtræ</t>
  </si>
  <si>
    <t xml:space="preserve"> </t>
  </si>
  <si>
    <t>Kolonne1</t>
  </si>
  <si>
    <t>Kolonne2</t>
  </si>
  <si>
    <t>Kolonne3</t>
  </si>
  <si>
    <t>Kolonne4</t>
  </si>
  <si>
    <t>Kolonne5</t>
  </si>
  <si>
    <t>Kolonne6</t>
  </si>
  <si>
    <t>Kolonne7</t>
  </si>
  <si>
    <t>Kolonne8</t>
  </si>
  <si>
    <t>Kolonne9</t>
  </si>
  <si>
    <t>Kolonne10</t>
  </si>
  <si>
    <t>Kolonne11</t>
  </si>
  <si>
    <t>Kolonne12</t>
  </si>
  <si>
    <t>Kolonne13</t>
  </si>
  <si>
    <t>Kolonne14</t>
  </si>
  <si>
    <t>Kolonne15</t>
  </si>
  <si>
    <t>Kolonne16</t>
  </si>
  <si>
    <t>Kolonne17</t>
  </si>
  <si>
    <t>Kolonne18</t>
  </si>
  <si>
    <t>Kolonne19</t>
  </si>
  <si>
    <t>Kolonne20</t>
  </si>
  <si>
    <t>Kolonne21</t>
  </si>
  <si>
    <t>Kolonne22</t>
  </si>
  <si>
    <t>Kolonne23</t>
  </si>
  <si>
    <t>Kolonne24</t>
  </si>
  <si>
    <t>Kolonne25</t>
  </si>
  <si>
    <t>Kolonne26</t>
  </si>
  <si>
    <t>Kolonne27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</si>
</sst>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[$-F400]h:mm:ss\ AM/PM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  <font>
      <b/>
      <sz val="1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indexed="8"/>
      <name val="Arial"/>
      <family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1"/>
      <name val="Calibri"/>
      <family val="2"/>
    </font>
    <font>
      <u/>
      <sz val="11"/>
      <name val="Calibri"/>
      <family val="2"/>
    </font>
    <font>
      <sz val="10"/>
      <color theme="1"/>
      <name val="ARIAL"/>
    </font>
    <font>
      <sz val="10"/>
      <color indexed="8"/>
      <name val="ARIAL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8C6B3"/>
        <bgColor indexed="64"/>
      </patternFill>
    </fill>
    <fill>
      <patternFill patternType="solid">
        <fgColor rgb="FF8DC3BB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dotted">
        <color theme="1" tint="0.4999847407452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4">
    <xf numFmtId="0" fontId="0" fillId="0" borderId="0"/>
    <xf numFmtId="0" fontId="8" fillId="0" borderId="0"/>
    <xf numFmtId="0" fontId="4" fillId="0" borderId="0"/>
    <xf numFmtId="164" fontId="8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0" borderId="0"/>
    <xf numFmtId="0" fontId="3" fillId="0" borderId="0"/>
    <xf numFmtId="0" fontId="2" fillId="0" borderId="0"/>
    <xf numFmtId="0" fontId="21" fillId="0" borderId="0">
      <alignment vertical="top"/>
    </xf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1" fillId="0" borderId="0">
      <alignment vertical="top"/>
    </xf>
  </cellStyleXfs>
  <cellXfs count="104">
    <xf numFmtId="0" fontId="0" fillId="0" borderId="0" xfId="0"/>
    <xf numFmtId="0" fontId="15" fillId="9" borderId="9" xfId="0" applyFont="1" applyFill="1" applyBorder="1" applyAlignment="1">
      <alignment vertical="center"/>
    </xf>
    <xf numFmtId="0" fontId="12" fillId="0" borderId="9" xfId="0" applyFont="1" applyBorder="1"/>
    <xf numFmtId="0" fontId="18" fillId="0" borderId="0" xfId="7" applyFont="1" applyAlignment="1">
      <alignment horizontal="center" vertical="center"/>
    </xf>
    <xf numFmtId="0" fontId="23" fillId="9" borderId="9" xfId="0" applyFont="1" applyFill="1" applyBorder="1" applyAlignment="1">
      <alignment vertical="center"/>
    </xf>
    <xf numFmtId="0" fontId="0" fillId="0" borderId="9" xfId="0" applyBorder="1"/>
    <xf numFmtId="0" fontId="15" fillId="8" borderId="7" xfId="6" applyFont="1" applyFill="1" applyBorder="1" applyAlignment="1" applyProtection="1">
      <alignment vertical="top"/>
      <protection locked="0"/>
    </xf>
    <xf numFmtId="0" fontId="0" fillId="0" borderId="0" xfId="0" applyProtection="1">
      <protection locked="0"/>
    </xf>
    <xf numFmtId="0" fontId="3" fillId="0" borderId="0" xfId="6" applyProtection="1">
      <protection locked="0"/>
    </xf>
    <xf numFmtId="0" fontId="4" fillId="0" borderId="0" xfId="2" applyProtection="1">
      <protection locked="0"/>
    </xf>
    <xf numFmtId="3" fontId="26" fillId="0" borderId="0" xfId="2" applyNumberFormat="1" applyFont="1" applyAlignment="1" applyProtection="1">
      <alignment horizontal="center"/>
      <protection locked="0"/>
    </xf>
    <xf numFmtId="3" fontId="4" fillId="0" borderId="0" xfId="2" applyNumberFormat="1" applyProtection="1">
      <protection locked="0"/>
    </xf>
    <xf numFmtId="3" fontId="5" fillId="4" borderId="3" xfId="1" applyNumberFormat="1" applyFont="1" applyFill="1" applyBorder="1" applyAlignment="1" applyProtection="1">
      <alignment horizontal="left"/>
      <protection locked="0"/>
    </xf>
    <xf numFmtId="0" fontId="7" fillId="0" borderId="1" xfId="0" applyFont="1" applyBorder="1" applyProtection="1">
      <protection locked="0"/>
    </xf>
    <xf numFmtId="3" fontId="12" fillId="5" borderId="1" xfId="1" applyNumberFormat="1" applyFont="1" applyFill="1" applyBorder="1" applyProtection="1">
      <protection locked="0"/>
    </xf>
    <xf numFmtId="3" fontId="5" fillId="0" borderId="1" xfId="2" applyNumberFormat="1" applyFont="1" applyBorder="1" applyProtection="1">
      <protection locked="0"/>
    </xf>
    <xf numFmtId="3" fontId="5" fillId="0" borderId="0" xfId="2" applyNumberFormat="1" applyFont="1" applyProtection="1">
      <protection locked="0"/>
    </xf>
    <xf numFmtId="3" fontId="6" fillId="0" borderId="0" xfId="0" applyNumberFormat="1" applyFont="1" applyAlignment="1" applyProtection="1">
      <alignment horizontal="right"/>
      <protection locked="0"/>
    </xf>
    <xf numFmtId="3" fontId="6" fillId="0" borderId="0" xfId="2" applyNumberFormat="1" applyFont="1" applyProtection="1">
      <protection locked="0"/>
    </xf>
    <xf numFmtId="3" fontId="6" fillId="0" borderId="0" xfId="2" applyNumberFormat="1" applyFont="1" applyAlignment="1" applyProtection="1">
      <alignment horizontal="center"/>
      <protection locked="0"/>
    </xf>
    <xf numFmtId="9" fontId="6" fillId="0" borderId="0" xfId="4" applyFont="1" applyFill="1" applyBorder="1" applyAlignment="1" applyProtection="1">
      <alignment horizontal="center"/>
      <protection locked="0"/>
    </xf>
    <xf numFmtId="3" fontId="10" fillId="0" borderId="0" xfId="2" applyNumberFormat="1" applyFont="1" applyAlignment="1" applyProtection="1">
      <alignment horizontal="center"/>
      <protection locked="0"/>
    </xf>
    <xf numFmtId="3" fontId="14" fillId="0" borderId="0" xfId="2" applyNumberFormat="1" applyFont="1" applyProtection="1">
      <protection locked="0"/>
    </xf>
    <xf numFmtId="4" fontId="4" fillId="0" borderId="0" xfId="2" applyNumberFormat="1" applyProtection="1">
      <protection locked="0"/>
    </xf>
    <xf numFmtId="0" fontId="24" fillId="10" borderId="0" xfId="2" applyFont="1" applyFill="1" applyAlignment="1">
      <alignment horizontal="center" vertical="center"/>
    </xf>
    <xf numFmtId="0" fontId="16" fillId="10" borderId="0" xfId="2" applyFont="1" applyFill="1" applyAlignment="1">
      <alignment horizontal="left" vertical="center"/>
    </xf>
    <xf numFmtId="0" fontId="16" fillId="10" borderId="0" xfId="2" applyFont="1" applyFill="1" applyAlignment="1">
      <alignment vertical="center"/>
    </xf>
    <xf numFmtId="0" fontId="17" fillId="10" borderId="0" xfId="2" applyFont="1" applyFill="1"/>
    <xf numFmtId="0" fontId="4" fillId="0" borderId="0" xfId="2"/>
    <xf numFmtId="165" fontId="4" fillId="0" borderId="0" xfId="2" applyNumberFormat="1"/>
    <xf numFmtId="0" fontId="25" fillId="11" borderId="11" xfId="2" applyFont="1" applyFill="1" applyBorder="1" applyAlignment="1">
      <alignment horizontal="center"/>
    </xf>
    <xf numFmtId="0" fontId="18" fillId="11" borderId="11" xfId="2" applyFont="1" applyFill="1" applyBorder="1"/>
    <xf numFmtId="3" fontId="26" fillId="0" borderId="0" xfId="2" applyNumberFormat="1" applyFont="1" applyAlignment="1">
      <alignment horizontal="center"/>
    </xf>
    <xf numFmtId="3" fontId="4" fillId="0" borderId="0" xfId="2" applyNumberFormat="1"/>
    <xf numFmtId="0" fontId="9" fillId="0" borderId="0" xfId="0" applyFont="1"/>
    <xf numFmtId="0" fontId="6" fillId="0" borderId="0" xfId="2" applyFont="1"/>
    <xf numFmtId="3" fontId="5" fillId="2" borderId="1" xfId="2" applyNumberFormat="1" applyFont="1" applyFill="1" applyBorder="1" applyAlignment="1">
      <alignment horizontal="center"/>
    </xf>
    <xf numFmtId="0" fontId="5" fillId="2" borderId="1" xfId="2" applyFont="1" applyFill="1" applyBorder="1" applyAlignment="1">
      <alignment horizontal="center"/>
    </xf>
    <xf numFmtId="3" fontId="4" fillId="4" borderId="4" xfId="3" applyNumberFormat="1" applyFont="1" applyFill="1" applyBorder="1" applyProtection="1"/>
    <xf numFmtId="3" fontId="11" fillId="4" borderId="5" xfId="1" applyNumberFormat="1" applyFont="1" applyFill="1" applyBorder="1"/>
    <xf numFmtId="3" fontId="5" fillId="0" borderId="1" xfId="2" applyNumberFormat="1" applyFont="1" applyBorder="1"/>
    <xf numFmtId="0" fontId="15" fillId="13" borderId="1" xfId="0" applyFont="1" applyFill="1" applyBorder="1" applyAlignment="1">
      <alignment horizontal="center"/>
    </xf>
    <xf numFmtId="3" fontId="15" fillId="13" borderId="1" xfId="2" applyNumberFormat="1" applyFont="1" applyFill="1" applyBorder="1" applyAlignment="1">
      <alignment horizontal="center"/>
    </xf>
    <xf numFmtId="3" fontId="15" fillId="13" borderId="1" xfId="2" applyNumberFormat="1" applyFont="1" applyFill="1" applyBorder="1"/>
    <xf numFmtId="3" fontId="26" fillId="4" borderId="4" xfId="3" applyNumberFormat="1" applyFont="1" applyFill="1" applyBorder="1" applyAlignment="1" applyProtection="1">
      <alignment horizontal="center"/>
    </xf>
    <xf numFmtId="3" fontId="26" fillId="0" borderId="1" xfId="1" applyNumberFormat="1" applyFont="1" applyBorder="1" applyAlignment="1">
      <alignment horizontal="center"/>
    </xf>
    <xf numFmtId="3" fontId="27" fillId="0" borderId="1" xfId="2" applyNumberFormat="1" applyFont="1" applyBorder="1" applyAlignment="1">
      <alignment horizontal="center"/>
    </xf>
    <xf numFmtId="3" fontId="12" fillId="0" borderId="1" xfId="1" applyNumberFormat="1" applyFont="1" applyBorder="1"/>
    <xf numFmtId="0" fontId="10" fillId="0" borderId="0" xfId="2" applyFont="1" applyAlignment="1" applyProtection="1">
      <alignment horizontal="center"/>
      <protection locked="0"/>
    </xf>
    <xf numFmtId="0" fontId="17" fillId="10" borderId="0" xfId="2" applyFont="1" applyFill="1" applyAlignment="1">
      <alignment horizontal="left" vertical="center"/>
    </xf>
    <xf numFmtId="0" fontId="18" fillId="0" borderId="0" xfId="7" applyFont="1" applyAlignment="1">
      <alignment vertical="center"/>
    </xf>
    <xf numFmtId="0" fontId="19" fillId="0" borderId="12" xfId="7" applyFont="1" applyBorder="1" applyAlignment="1">
      <alignment vertical="center"/>
    </xf>
    <xf numFmtId="0" fontId="18" fillId="0" borderId="12" xfId="7" applyFont="1" applyBorder="1" applyAlignment="1">
      <alignment vertical="center"/>
    </xf>
    <xf numFmtId="0" fontId="20" fillId="0" borderId="0" xfId="7" applyFont="1" applyAlignment="1">
      <alignment vertical="center"/>
    </xf>
    <xf numFmtId="0" fontId="12" fillId="12" borderId="0" xfId="0" applyFont="1" applyFill="1" applyAlignment="1">
      <alignment horizontal="center" vertical="top"/>
    </xf>
    <xf numFmtId="0" fontId="18" fillId="0" borderId="0" xfId="7" quotePrefix="1" applyFont="1" applyAlignment="1">
      <alignment vertical="center"/>
    </xf>
    <xf numFmtId="0" fontId="22" fillId="0" borderId="0" xfId="7" quotePrefix="1" applyFont="1" applyAlignment="1">
      <alignment vertical="center"/>
    </xf>
    <xf numFmtId="0" fontId="22" fillId="0" borderId="0" xfId="7" applyFont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7" applyFont="1" applyAlignment="1">
      <alignment horizontal="center"/>
    </xf>
    <xf numFmtId="0" fontId="18" fillId="0" borderId="0" xfId="7" applyFont="1"/>
    <xf numFmtId="0" fontId="12" fillId="0" borderId="0" xfId="8" applyFont="1" applyAlignment="1">
      <alignment horizontal="center" vertical="top"/>
    </xf>
    <xf numFmtId="0" fontId="21" fillId="0" borderId="0" xfId="8">
      <alignment vertical="top"/>
    </xf>
    <xf numFmtId="0" fontId="13" fillId="0" borderId="0" xfId="5" applyAlignment="1">
      <alignment vertical="top"/>
    </xf>
    <xf numFmtId="0" fontId="21" fillId="0" borderId="0" xfId="8" applyAlignment="1">
      <alignment horizontal="center" vertical="top"/>
    </xf>
    <xf numFmtId="0" fontId="13" fillId="0" borderId="0" xfId="5" applyAlignment="1">
      <alignment horizontal="center" vertical="top"/>
    </xf>
    <xf numFmtId="0" fontId="12" fillId="12" borderId="9" xfId="0" applyFont="1" applyFill="1" applyBorder="1" applyAlignment="1" applyProtection="1">
      <alignment horizontal="center" vertical="top"/>
      <protection locked="0"/>
    </xf>
    <xf numFmtId="3" fontId="5" fillId="2" borderId="1" xfId="2" applyNumberFormat="1" applyFont="1" applyFill="1" applyBorder="1" applyProtection="1">
      <protection locked="0"/>
    </xf>
    <xf numFmtId="0" fontId="0" fillId="7" borderId="0" xfId="0" applyFill="1" applyProtection="1">
      <protection locked="0"/>
    </xf>
    <xf numFmtId="3" fontId="6" fillId="0" borderId="0" xfId="2" applyNumberFormat="1" applyFont="1"/>
    <xf numFmtId="3" fontId="6" fillId="0" borderId="0" xfId="2" applyNumberFormat="1" applyFont="1" applyAlignment="1">
      <alignment horizontal="right"/>
    </xf>
    <xf numFmtId="3" fontId="28" fillId="0" borderId="0" xfId="2" applyNumberFormat="1" applyFont="1" applyProtection="1">
      <protection locked="0"/>
    </xf>
    <xf numFmtId="3" fontId="4" fillId="0" borderId="0" xfId="2" quotePrefix="1" applyNumberFormat="1" applyProtection="1">
      <protection locked="0"/>
    </xf>
    <xf numFmtId="0" fontId="29" fillId="0" borderId="0" xfId="0" applyFont="1" applyAlignment="1">
      <alignment vertical="center"/>
    </xf>
    <xf numFmtId="3" fontId="6" fillId="0" borderId="0" xfId="0" applyNumberFormat="1" applyFont="1" applyProtection="1">
      <protection locked="0"/>
    </xf>
    <xf numFmtId="3" fontId="12" fillId="7" borderId="1" xfId="1" applyNumberFormat="1" applyFont="1" applyFill="1" applyBorder="1" applyProtection="1">
      <protection locked="0"/>
    </xf>
    <xf numFmtId="3" fontId="12" fillId="6" borderId="1" xfId="1" applyNumberFormat="1" applyFont="1" applyFill="1" applyBorder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3" fontId="4" fillId="3" borderId="1" xfId="0" applyNumberFormat="1" applyFont="1" applyFill="1" applyBorder="1"/>
    <xf numFmtId="3" fontId="5" fillId="3" borderId="1" xfId="0" applyNumberFormat="1" applyFont="1" applyFill="1" applyBorder="1"/>
    <xf numFmtId="0" fontId="31" fillId="0" borderId="14" xfId="0" applyFont="1" applyBorder="1" applyAlignment="1" applyProtection="1">
      <alignment vertical="top"/>
      <protection locked="0"/>
    </xf>
    <xf numFmtId="3" fontId="32" fillId="0" borderId="14" xfId="0" applyNumberFormat="1" applyFont="1" applyBorder="1" applyAlignment="1" applyProtection="1">
      <alignment vertical="top"/>
      <protection locked="0"/>
    </xf>
    <xf numFmtId="14" fontId="32" fillId="0" borderId="14" xfId="0" applyNumberFormat="1" applyFont="1" applyBorder="1" applyAlignment="1" applyProtection="1">
      <alignment vertical="top"/>
      <protection locked="0"/>
    </xf>
    <xf numFmtId="4" fontId="32" fillId="0" borderId="14" xfId="0" applyNumberFormat="1" applyFont="1" applyBorder="1" applyAlignment="1" applyProtection="1">
      <alignment vertical="top"/>
      <protection locked="0"/>
    </xf>
    <xf numFmtId="0" fontId="31" fillId="0" borderId="15" xfId="0" applyFont="1" applyBorder="1" applyAlignment="1" applyProtection="1">
      <alignment vertical="top"/>
      <protection locked="0"/>
    </xf>
    <xf numFmtId="3" fontId="32" fillId="0" borderId="15" xfId="0" applyNumberFormat="1" applyFont="1" applyBorder="1" applyAlignment="1" applyProtection="1">
      <alignment vertical="top"/>
      <protection locked="0"/>
    </xf>
    <xf numFmtId="14" fontId="32" fillId="0" borderId="15" xfId="0" applyNumberFormat="1" applyFont="1" applyBorder="1" applyAlignment="1" applyProtection="1">
      <alignment vertical="top"/>
      <protection locked="0"/>
    </xf>
    <xf numFmtId="4" fontId="32" fillId="0" borderId="15" xfId="0" applyNumberFormat="1" applyFont="1" applyBorder="1" applyAlignment="1" applyProtection="1">
      <alignment vertical="top"/>
      <protection locked="0"/>
    </xf>
    <xf numFmtId="14" fontId="32" fillId="0" borderId="0" xfId="0" applyNumberFormat="1" applyFont="1" applyAlignment="1" applyProtection="1">
      <alignment vertical="top"/>
      <protection locked="0"/>
    </xf>
    <xf numFmtId="3" fontId="32" fillId="0" borderId="0" xfId="0" applyNumberFormat="1" applyFont="1" applyAlignment="1" applyProtection="1">
      <alignment vertical="top"/>
      <protection locked="0"/>
    </xf>
    <xf numFmtId="0" fontId="31" fillId="0" borderId="0" xfId="0" applyFont="1" applyAlignment="1" applyProtection="1">
      <alignment vertical="top"/>
      <protection locked="0"/>
    </xf>
    <xf numFmtId="0" fontId="0" fillId="0" borderId="14" xfId="0" applyBorder="1"/>
    <xf numFmtId="14" fontId="0" fillId="0" borderId="14" xfId="0" applyNumberFormat="1" applyBorder="1"/>
    <xf numFmtId="4" fontId="32" fillId="0" borderId="0" xfId="0" applyNumberFormat="1" applyFont="1" applyAlignment="1" applyProtection="1">
      <alignment vertical="top"/>
      <protection locked="0"/>
    </xf>
    <xf numFmtId="4" fontId="0" fillId="0" borderId="14" xfId="0" applyNumberFormat="1" applyBorder="1"/>
    <xf numFmtId="0" fontId="12" fillId="12" borderId="8" xfId="0" applyFont="1" applyFill="1" applyBorder="1" applyAlignment="1" applyProtection="1">
      <alignment horizontal="center" vertical="top"/>
      <protection locked="0"/>
    </xf>
    <xf numFmtId="0" fontId="12" fillId="12" borderId="13" xfId="0" applyFont="1" applyFill="1" applyBorder="1" applyAlignment="1" applyProtection="1">
      <alignment horizontal="center" vertical="top"/>
      <protection locked="0"/>
    </xf>
    <xf numFmtId="0" fontId="12" fillId="12" borderId="10" xfId="0" applyFont="1" applyFill="1" applyBorder="1" applyAlignment="1" applyProtection="1">
      <alignment horizontal="center" vertical="top"/>
      <protection locked="0"/>
    </xf>
    <xf numFmtId="3" fontId="10" fillId="0" borderId="2" xfId="2" quotePrefix="1" applyNumberFormat="1" applyFont="1" applyBorder="1" applyAlignment="1" applyProtection="1">
      <alignment horizontal="center"/>
      <protection locked="0"/>
    </xf>
    <xf numFmtId="3" fontId="10" fillId="0" borderId="2" xfId="2" applyNumberFormat="1" applyFont="1" applyBorder="1" applyAlignment="1" applyProtection="1">
      <alignment horizontal="center"/>
      <protection locked="0"/>
    </xf>
    <xf numFmtId="0" fontId="10" fillId="0" borderId="0" xfId="2" applyFont="1" applyAlignment="1" applyProtection="1">
      <alignment horizontal="center"/>
      <protection locked="0"/>
    </xf>
    <xf numFmtId="0" fontId="4" fillId="0" borderId="0" xfId="2" applyAlignment="1" applyProtection="1">
      <alignment horizontal="center"/>
      <protection locked="0"/>
    </xf>
    <xf numFmtId="0" fontId="10" fillId="0" borderId="6" xfId="2" applyFont="1" applyBorder="1" applyAlignment="1" applyProtection="1">
      <alignment horizontal="center"/>
      <protection locked="0"/>
    </xf>
  </cellXfs>
  <cellStyles count="14">
    <cellStyle name="Komma 2" xfId="3" xr:uid="{00000000-0005-0000-0000-000000000000}"/>
    <cellStyle name="Komma 2 2" xfId="10" xr:uid="{00000000-0005-0000-0000-000001000000}"/>
    <cellStyle name="Normal" xfId="0" builtinId="0"/>
    <cellStyle name="Normal 2" xfId="1" xr:uid="{00000000-0005-0000-0000-000003000000}"/>
    <cellStyle name="Normal 2 2" xfId="2" xr:uid="{00000000-0005-0000-0000-000004000000}"/>
    <cellStyle name="Normal 2 3" xfId="7" xr:uid="{00000000-0005-0000-0000-000005000000}"/>
    <cellStyle name="Normal 2 3 2" xfId="12" xr:uid="{00000000-0005-0000-0000-000006000000}"/>
    <cellStyle name="Normal 2 4" xfId="9" xr:uid="{00000000-0005-0000-0000-000007000000}"/>
    <cellStyle name="Normal 3" xfId="5" xr:uid="{00000000-0005-0000-0000-000008000000}"/>
    <cellStyle name="Normal 4" xfId="6" xr:uid="{00000000-0005-0000-0000-000009000000}"/>
    <cellStyle name="Normal 4 2" xfId="11" xr:uid="{00000000-0005-0000-0000-00000A000000}"/>
    <cellStyle name="Normal 5" xfId="8" xr:uid="{00000000-0005-0000-0000-00000B000000}"/>
    <cellStyle name="Normal 5 2" xfId="13" xr:uid="{00000000-0005-0000-0000-00000C000000}"/>
    <cellStyle name="Procent 2" xfId="4" xr:uid="{00000000-0005-0000-0000-00000D000000}"/>
  </cellStyles>
  <dxfs count="34">
    <dxf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6" formatCode="m/d/yyyy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top" textRotation="0" wrapText="0" indent="0" justifyLastLine="0" shrinkToFit="0" readingOrder="0"/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alignment horizontal="general" vertical="top" textRotation="0" wrapText="0" indent="0" justifyLastLine="0" shrinkToFit="0" readingOrder="0"/>
      <protection locked="0" hidden="0"/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34</xdr:row>
      <xdr:rowOff>0</xdr:rowOff>
    </xdr:from>
    <xdr:to>
      <xdr:col>7</xdr:col>
      <xdr:colOff>133350</xdr:colOff>
      <xdr:row>35</xdr:row>
      <xdr:rowOff>19050</xdr:rowOff>
    </xdr:to>
    <xdr:sp macro="clear_data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81200" y="5705475"/>
          <a:ext cx="866775" cy="180975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05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ctual_temp" displayName="actual_temp" ref="A1:AA47" totalsRowShown="0" headerRowDxfId="31" dataDxfId="29" headerRowBorderDxfId="30" tableBorderDxfId="28" totalsRowBorderDxfId="27">
  <autoFilter ref="A1:AA47" xr:uid="{00000000-0009-0000-0100-000003000000}"/>
  <sortState xmlns:xlrd2="http://schemas.microsoft.com/office/spreadsheetml/2017/richdata2" ref="A2:AA47">
    <sortCondition ref="E1:E47"/>
  </sortState>
  <tableColumns count="27">
    <tableColumn id="1" xr3:uid="{00000000-0010-0000-0000-000001000000}" name="Kolonne1" dataDxfId="26"/>
    <tableColumn id="2" xr3:uid="{00000000-0010-0000-0000-000002000000}" name="Kolonne2" dataDxfId="25"/>
    <tableColumn id="3" xr3:uid="{00000000-0010-0000-0000-000003000000}" name="Kolonne3" dataDxfId="24"/>
    <tableColumn id="4" xr3:uid="{00000000-0010-0000-0000-000004000000}" name="Kolonne4" dataDxfId="23"/>
    <tableColumn id="5" xr3:uid="{00000000-0010-0000-0000-000005000000}" name="Kolonne5" dataDxfId="22"/>
    <tableColumn id="6" xr3:uid="{00000000-0010-0000-0000-000006000000}" name="Kolonne6" dataDxfId="21"/>
    <tableColumn id="7" xr3:uid="{00000000-0010-0000-0000-000007000000}" name="Kolonne7" dataDxfId="20"/>
    <tableColumn id="8" xr3:uid="{00000000-0010-0000-0000-000008000000}" name="Kolonne8" dataDxfId="19"/>
    <tableColumn id="9" xr3:uid="{00000000-0010-0000-0000-000009000000}" name="Kolonne9" dataDxfId="18"/>
    <tableColumn id="10" xr3:uid="{00000000-0010-0000-0000-00000A000000}" name="Kolonne10" dataDxfId="17"/>
    <tableColumn id="11" xr3:uid="{00000000-0010-0000-0000-00000B000000}" name="Kolonne11" dataDxfId="16"/>
    <tableColumn id="12" xr3:uid="{00000000-0010-0000-0000-00000C000000}" name="Kolonne12" dataDxfId="15"/>
    <tableColumn id="13" xr3:uid="{00000000-0010-0000-0000-00000D000000}" name="Kolonne13" dataDxfId="14"/>
    <tableColumn id="14" xr3:uid="{00000000-0010-0000-0000-00000E000000}" name="Kolonne14" dataDxfId="13"/>
    <tableColumn id="15" xr3:uid="{00000000-0010-0000-0000-00000F000000}" name="Kolonne15" dataDxfId="12"/>
    <tableColumn id="16" xr3:uid="{00000000-0010-0000-0000-000010000000}" name="Kolonne16" dataDxfId="11"/>
    <tableColumn id="17" xr3:uid="{00000000-0010-0000-0000-000011000000}" name="Kolonne17" dataDxfId="10"/>
    <tableColumn id="18" xr3:uid="{00000000-0010-0000-0000-000012000000}" name="Kolonne18" dataDxfId="9"/>
    <tableColumn id="19" xr3:uid="{00000000-0010-0000-0000-000013000000}" name="Kolonne19" dataDxfId="8"/>
    <tableColumn id="20" xr3:uid="{00000000-0010-0000-0000-000014000000}" name="Kolonne20" dataDxfId="7"/>
    <tableColumn id="21" xr3:uid="{00000000-0010-0000-0000-000015000000}" name="Kolonne21" dataDxfId="6"/>
    <tableColumn id="22" xr3:uid="{00000000-0010-0000-0000-000016000000}" name="Kolonne22" dataDxfId="5"/>
    <tableColumn id="23" xr3:uid="{00000000-0010-0000-0000-000017000000}" name="Kolonne23" dataDxfId="4"/>
    <tableColumn id="24" xr3:uid="{00000000-0010-0000-0000-000018000000}" name="Kolonne24" dataDxfId="3"/>
    <tableColumn id="25" xr3:uid="{00000000-0010-0000-0000-000019000000}" name="Kolonne25" dataDxfId="2"/>
    <tableColumn id="26" xr3:uid="{00000000-0010-0000-0000-00001A000000}" name="Kolonne26" dataDxfId="1"/>
    <tableColumn id="27" xr3:uid="{00000000-0010-0000-0000-00001B000000}" name="Kolonne2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:F9"/>
  <sheetViews>
    <sheetView showGridLines="0" workbookViewId="0">
      <selection activeCell="D17" sqref="D17"/>
    </sheetView>
  </sheetViews>
  <sheetFormatPr defaultRowHeight="12.75" x14ac:dyDescent="0.2"/>
  <cols>
    <col min="2" max="2" width="15" bestFit="1" customWidth="1"/>
    <col min="4" max="4" width="14.5703125" customWidth="1"/>
  </cols>
  <sheetData>
    <row r="3" spans="2:6" x14ac:dyDescent="0.2">
      <c r="B3" t="s">
        <v>51</v>
      </c>
    </row>
    <row r="5" spans="2:6" ht="15" x14ac:dyDescent="0.2">
      <c r="B5" s="1" t="s">
        <v>50</v>
      </c>
      <c r="D5" s="4" t="s">
        <v>47</v>
      </c>
      <c r="F5" s="4" t="s">
        <v>61</v>
      </c>
    </row>
    <row r="6" spans="2:6" x14ac:dyDescent="0.2">
      <c r="B6" s="2"/>
      <c r="D6" s="5"/>
      <c r="F6" s="5" t="s">
        <v>62</v>
      </c>
    </row>
    <row r="7" spans="2:6" x14ac:dyDescent="0.2">
      <c r="B7" s="2" t="s">
        <v>43</v>
      </c>
      <c r="D7" s="5" t="s">
        <v>63</v>
      </c>
      <c r="F7" s="5" t="s">
        <v>64</v>
      </c>
    </row>
    <row r="8" spans="2:6" x14ac:dyDescent="0.2">
      <c r="B8" s="2" t="s">
        <v>44</v>
      </c>
      <c r="D8" s="5" t="s">
        <v>48</v>
      </c>
    </row>
    <row r="9" spans="2:6" x14ac:dyDescent="0.2">
      <c r="D9" s="5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W40"/>
  <sheetViews>
    <sheetView showGridLines="0" workbookViewId="0">
      <selection activeCell="L28" sqref="L28"/>
    </sheetView>
  </sheetViews>
  <sheetFormatPr defaultColWidth="9.140625" defaultRowHeight="12.75" x14ac:dyDescent="0.2"/>
  <cols>
    <col min="1" max="1" width="3.140625" style="62" customWidth="1"/>
    <col min="2" max="2" width="9.140625" style="62"/>
    <col min="3" max="3" width="14.7109375" style="62" bestFit="1" customWidth="1"/>
    <col min="4" max="5" width="2.7109375" style="62" customWidth="1"/>
    <col min="6" max="6" width="8.28515625" style="62" customWidth="1"/>
    <col min="7" max="7" width="1.28515625" style="62" customWidth="1"/>
    <col min="8" max="8" width="2.7109375" style="62" customWidth="1"/>
    <col min="9" max="9" width="1.28515625" style="62" customWidth="1"/>
    <col min="10" max="10" width="8.28515625" style="62" customWidth="1"/>
    <col min="11" max="16384" width="9.140625" style="62"/>
  </cols>
  <sheetData>
    <row r="1" spans="1:23" s="28" customFormat="1" ht="37.5" customHeight="1" x14ac:dyDescent="0.2">
      <c r="A1" s="26"/>
      <c r="B1" s="26" t="str">
        <f>"BUDGET "&amp;year&amp;" "&amp;title</f>
        <v>BUDGET 2018 aktivitet 517 Undervisningsprogrammer og skoler</v>
      </c>
      <c r="C1" s="25"/>
      <c r="D1" s="49"/>
      <c r="E1" s="49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V1" s="29"/>
      <c r="W1" s="29"/>
    </row>
    <row r="2" spans="1:23" s="28" customFormat="1" ht="3.75" customHeight="1" x14ac:dyDescent="0.2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</row>
    <row r="3" spans="1:23" s="28" customFormat="1" x14ac:dyDescent="0.2"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Q3"/>
      <c r="R3"/>
      <c r="S3" s="50"/>
      <c r="T3" s="50"/>
    </row>
    <row r="4" spans="1:23" s="28" customFormat="1" x14ac:dyDescent="0.2"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Q4"/>
      <c r="R4"/>
      <c r="S4" s="50"/>
      <c r="T4" s="50"/>
    </row>
    <row r="5" spans="1:23" s="28" customFormat="1" x14ac:dyDescent="0.2">
      <c r="B5" s="51" t="s">
        <v>52</v>
      </c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</row>
    <row r="6" spans="1:23" s="28" customFormat="1" x14ac:dyDescent="0.2"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3" s="28" customFormat="1" x14ac:dyDescent="0.2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3" s="28" customFormat="1" x14ac:dyDescent="0.2">
      <c r="B8" s="50"/>
      <c r="C8" s="53" t="s">
        <v>53</v>
      </c>
      <c r="D8" s="50"/>
      <c r="E8" s="50"/>
      <c r="F8" s="66">
        <v>2018</v>
      </c>
      <c r="G8" s="54"/>
      <c r="H8" s="50"/>
      <c r="I8" s="50"/>
      <c r="J8" s="55"/>
      <c r="L8" s="50"/>
      <c r="M8" s="50"/>
      <c r="N8" s="50"/>
      <c r="O8" s="50"/>
      <c r="P8" s="50"/>
      <c r="Q8" s="50"/>
      <c r="R8" s="50"/>
      <c r="S8" s="50"/>
      <c r="T8" s="50"/>
    </row>
    <row r="9" spans="1:23" s="28" customFormat="1" x14ac:dyDescent="0.2">
      <c r="B9" s="50"/>
      <c r="C9" s="50"/>
      <c r="D9" s="50"/>
      <c r="E9" s="50"/>
      <c r="F9" s="50"/>
      <c r="G9" s="50"/>
      <c r="H9" s="50"/>
      <c r="I9" s="50"/>
      <c r="J9" s="50"/>
      <c r="L9" s="50"/>
      <c r="M9" s="50"/>
      <c r="N9" s="50"/>
      <c r="O9" s="50"/>
      <c r="P9" s="50"/>
      <c r="Q9" s="50"/>
      <c r="R9" s="50"/>
      <c r="S9" s="50"/>
      <c r="T9" s="50"/>
    </row>
    <row r="10" spans="1:23" s="28" customFormat="1" x14ac:dyDescent="0.2">
      <c r="B10" s="50"/>
      <c r="C10" s="53" t="s">
        <v>54</v>
      </c>
      <c r="D10" s="50"/>
      <c r="E10" s="50"/>
      <c r="F10" s="96" t="s">
        <v>73</v>
      </c>
      <c r="G10" s="97"/>
      <c r="H10" s="97"/>
      <c r="I10" s="97"/>
      <c r="J10" s="97"/>
      <c r="K10" s="97"/>
      <c r="L10" s="97"/>
      <c r="M10" s="98"/>
      <c r="N10" s="50"/>
      <c r="O10" s="50"/>
      <c r="P10" s="50"/>
      <c r="Q10" s="50"/>
      <c r="R10" s="50"/>
      <c r="S10" s="50"/>
      <c r="T10" s="50"/>
    </row>
    <row r="11" spans="1:23" s="28" customFormat="1" x14ac:dyDescent="0.2"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3" s="28" customFormat="1" x14ac:dyDescent="0.2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3" s="28" customFormat="1" x14ac:dyDescent="0.2">
      <c r="B13" s="51" t="s">
        <v>55</v>
      </c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</row>
    <row r="14" spans="1:23" s="28" customFormat="1" x14ac:dyDescent="0.2">
      <c r="B14" s="56" t="s">
        <v>56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3" s="28" customFormat="1" x14ac:dyDescent="0.2">
      <c r="B15" s="56" t="s">
        <v>67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3" s="28" customFormat="1" x14ac:dyDescent="0.2">
      <c r="B16" s="56" t="s">
        <v>68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</row>
    <row r="17" spans="2:20" s="28" customFormat="1" x14ac:dyDescent="0.2">
      <c r="B17" s="56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</row>
    <row r="18" spans="2:20" s="28" customFormat="1" x14ac:dyDescent="0.2">
      <c r="B18" s="56"/>
      <c r="C18" s="50"/>
      <c r="D18" s="50"/>
      <c r="E18" s="50"/>
      <c r="F18" s="57"/>
      <c r="G18" s="57"/>
      <c r="H18" s="50"/>
      <c r="I18" s="50"/>
      <c r="J18" s="57"/>
      <c r="K18" s="50"/>
      <c r="L18" s="50"/>
      <c r="M18" s="50"/>
      <c r="N18" s="50"/>
    </row>
    <row r="19" spans="2:20" s="28" customFormat="1" x14ac:dyDescent="0.2">
      <c r="B19" s="50"/>
      <c r="C19" s="53" t="s">
        <v>45</v>
      </c>
      <c r="D19" s="66" t="s">
        <v>62</v>
      </c>
      <c r="F19" s="66"/>
      <c r="G19" s="54"/>
      <c r="H19" s="58" t="s">
        <v>66</v>
      </c>
      <c r="I19" s="3"/>
      <c r="J19" s="66"/>
      <c r="K19" s="50"/>
      <c r="L19" s="50"/>
      <c r="M19" s="50"/>
      <c r="N19" s="50"/>
    </row>
    <row r="20" spans="2:20" s="28" customFormat="1" ht="24.75" customHeight="1" x14ac:dyDescent="0.2">
      <c r="B20" s="50"/>
      <c r="C20" s="50"/>
      <c r="D20" s="50"/>
      <c r="E20" s="50"/>
      <c r="F20" s="59" t="str">
        <f>IF(H21="-","fra","")</f>
        <v>fra</v>
      </c>
      <c r="G20" s="60"/>
      <c r="H20" s="60"/>
      <c r="I20" s="60"/>
      <c r="J20" s="59" t="str">
        <f>IF(H21="-","til","")</f>
        <v>til</v>
      </c>
      <c r="K20" s="50"/>
      <c r="L20" s="50"/>
      <c r="M20" s="50"/>
      <c r="N20" s="50"/>
    </row>
    <row r="21" spans="2:20" s="28" customFormat="1" x14ac:dyDescent="0.2">
      <c r="B21" s="50"/>
      <c r="C21" s="53" t="s">
        <v>28</v>
      </c>
      <c r="D21" s="66" t="s">
        <v>62</v>
      </c>
      <c r="F21" s="66">
        <v>517</v>
      </c>
      <c r="G21" s="54"/>
      <c r="H21" s="66" t="s">
        <v>57</v>
      </c>
      <c r="I21" s="3"/>
      <c r="J21" s="66">
        <v>517</v>
      </c>
      <c r="K21" s="50"/>
      <c r="L21" s="50"/>
      <c r="M21" s="50"/>
      <c r="N21" s="50"/>
    </row>
    <row r="22" spans="2:20" s="28" customFormat="1" ht="24.75" customHeight="1" x14ac:dyDescent="0.2">
      <c r="B22" s="50"/>
      <c r="C22" s="53"/>
      <c r="D22" s="50"/>
      <c r="E22" s="50"/>
      <c r="F22" s="59" t="str">
        <f>IF(H23="-","fra","")</f>
        <v>fra</v>
      </c>
      <c r="G22" s="60"/>
      <c r="H22" s="60"/>
      <c r="I22" s="60"/>
      <c r="J22" s="59" t="str">
        <f>IF(H23="-","til","")</f>
        <v>til</v>
      </c>
      <c r="K22" s="50"/>
      <c r="L22" s="50"/>
      <c r="M22" s="50"/>
      <c r="N22" s="50"/>
    </row>
    <row r="23" spans="2:20" s="28" customFormat="1" x14ac:dyDescent="0.2">
      <c r="B23" s="50"/>
      <c r="C23" s="53" t="s">
        <v>29</v>
      </c>
      <c r="D23" s="66" t="s">
        <v>62</v>
      </c>
      <c r="E23" s="50"/>
      <c r="F23" s="66">
        <v>0</v>
      </c>
      <c r="G23" s="54"/>
      <c r="H23" s="66" t="s">
        <v>57</v>
      </c>
      <c r="I23" s="3"/>
      <c r="J23" s="66">
        <v>0</v>
      </c>
      <c r="K23" s="50"/>
      <c r="L23" s="50"/>
      <c r="M23" s="50"/>
      <c r="N23" s="50"/>
    </row>
    <row r="24" spans="2:20" s="28" customFormat="1" ht="24.75" customHeight="1" x14ac:dyDescent="0.2">
      <c r="B24" s="50"/>
      <c r="C24" s="53"/>
      <c r="D24" s="50"/>
      <c r="E24" s="50"/>
      <c r="F24" s="59" t="str">
        <f>IF(H25="-","fra","")</f>
        <v>fra</v>
      </c>
      <c r="G24" s="60"/>
      <c r="H24" s="60"/>
      <c r="I24" s="60"/>
      <c r="J24" s="59" t="str">
        <f>IF(H25="-","til","")</f>
        <v>til</v>
      </c>
      <c r="K24" s="50"/>
      <c r="L24" s="50"/>
      <c r="M24" s="50"/>
      <c r="N24" s="50"/>
    </row>
    <row r="25" spans="2:20" s="28" customFormat="1" x14ac:dyDescent="0.2">
      <c r="B25" s="50"/>
      <c r="C25" s="53" t="s">
        <v>46</v>
      </c>
      <c r="D25" s="66" t="s">
        <v>62</v>
      </c>
      <c r="E25" s="50"/>
      <c r="F25" s="66"/>
      <c r="G25" s="54"/>
      <c r="H25" s="66" t="s">
        <v>57</v>
      </c>
      <c r="I25" s="61"/>
      <c r="J25" s="66"/>
      <c r="K25" s="50"/>
      <c r="L25" s="50"/>
      <c r="M25" s="50"/>
      <c r="N25" s="50"/>
    </row>
    <row r="26" spans="2:20" s="28" customFormat="1" ht="24.75" customHeight="1" x14ac:dyDescent="0.2">
      <c r="B26" s="50"/>
      <c r="C26" s="53"/>
      <c r="D26" s="50"/>
      <c r="E26" s="50"/>
      <c r="F26" s="59" t="str">
        <f>IF(H27="-","fra","")</f>
        <v>fra</v>
      </c>
      <c r="G26" s="60"/>
      <c r="H26" s="60"/>
      <c r="I26" s="60"/>
      <c r="J26" s="59" t="str">
        <f>IF(H27="-","til","")</f>
        <v>til</v>
      </c>
      <c r="K26" s="50"/>
      <c r="L26" s="50"/>
      <c r="M26" s="50"/>
      <c r="N26" s="50"/>
    </row>
    <row r="27" spans="2:20" x14ac:dyDescent="0.2">
      <c r="C27" s="53" t="s">
        <v>27</v>
      </c>
      <c r="D27" s="66" t="s">
        <v>62</v>
      </c>
      <c r="F27" s="66"/>
      <c r="G27" s="54"/>
      <c r="H27" s="66" t="s">
        <v>57</v>
      </c>
      <c r="I27" s="61"/>
      <c r="J27" s="66"/>
    </row>
    <row r="28" spans="2:20" ht="24.75" customHeight="1" x14ac:dyDescent="0.2">
      <c r="C28" s="53"/>
      <c r="D28" s="63"/>
      <c r="F28" s="64"/>
      <c r="G28" s="64"/>
      <c r="H28" s="65"/>
      <c r="I28" s="64"/>
      <c r="J28" s="64"/>
    </row>
    <row r="29" spans="2:20" x14ac:dyDescent="0.2">
      <c r="C29" s="53" t="s">
        <v>47</v>
      </c>
      <c r="D29" s="66" t="s">
        <v>62</v>
      </c>
      <c r="F29" s="96" t="s">
        <v>48</v>
      </c>
      <c r="G29" s="97"/>
      <c r="H29" s="97"/>
      <c r="I29" s="97"/>
      <c r="J29" s="98"/>
    </row>
    <row r="32" spans="2:20" x14ac:dyDescent="0.2">
      <c r="B32" s="51" t="s">
        <v>58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</row>
    <row r="33" spans="2:20" x14ac:dyDescent="0.2">
      <c r="B33" s="56" t="s">
        <v>59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6" spans="2:20" x14ac:dyDescent="0.2">
      <c r="C36" s="53" t="s">
        <v>60</v>
      </c>
    </row>
    <row r="39" spans="2:20" x14ac:dyDescent="0.2"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</row>
    <row r="40" spans="2:20" x14ac:dyDescent="0.2">
      <c r="B40" s="56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</row>
  </sheetData>
  <mergeCells count="2">
    <mergeCell ref="F10:M10"/>
    <mergeCell ref="F29:J29"/>
  </mergeCells>
  <dataValidations count="1">
    <dataValidation type="list" allowBlank="1" showInputMessage="1" showErrorMessage="1" sqref="H25 H27 H23 H21" xr:uid="{00000000-0002-0000-0100-000000000000}">
      <formula1>"-,&amp;"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DATA_VALID!$D$6:$D$9</xm:f>
          </x14:formula1>
          <xm:sqref>F29:J29</xm:sqref>
        </x14:dataValidation>
        <x14:dataValidation type="list" allowBlank="1" showInputMessage="1" showErrorMessage="1" xr:uid="{00000000-0002-0000-0100-000002000000}">
          <x14:formula1>
            <xm:f>DATA_VALID!$F$6:$F$7</xm:f>
          </x14:formula1>
          <xm:sqref>D19 D21 D23 D25 D27 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outlinePr summaryBelow="0" summaryRight="0" showOutlineSymbols="0"/>
  </sheetPr>
  <dimension ref="A1:AB165"/>
  <sheetViews>
    <sheetView showGridLines="0" tabSelected="1" showOutlineSymbols="0" zoomScaleNormal="100" workbookViewId="0">
      <selection activeCell="H114" sqref="H114"/>
    </sheetView>
  </sheetViews>
  <sheetFormatPr defaultColWidth="8.85546875" defaultRowHeight="12.75" outlineLevelRow="1" x14ac:dyDescent="0.2"/>
  <cols>
    <col min="1" max="2" width="8.85546875" style="10"/>
    <col min="3" max="3" width="2.7109375" style="11" customWidth="1"/>
    <col min="4" max="4" width="23.140625" style="11" customWidth="1"/>
    <col min="5" max="7" width="9.5703125" style="11" customWidth="1"/>
    <col min="8" max="8" width="7.7109375" style="11" customWidth="1"/>
    <col min="9" max="9" width="8.140625" style="11" customWidth="1"/>
    <col min="10" max="15" width="7.7109375" style="11" customWidth="1"/>
    <col min="16" max="16" width="8.85546875" style="11" customWidth="1"/>
    <col min="17" max="17" width="9" style="11" customWidth="1"/>
    <col min="18" max="18" width="10.28515625" style="11" customWidth="1"/>
    <col min="19" max="16384" width="8.85546875" style="11"/>
  </cols>
  <sheetData>
    <row r="1" spans="1:20" s="28" customFormat="1" ht="37.5" customHeight="1" x14ac:dyDescent="0.2">
      <c r="A1" s="24"/>
      <c r="B1" s="24"/>
      <c r="C1" s="25"/>
      <c r="D1" s="26" t="str">
        <f>"BUDGET "&amp;year&amp;" "&amp;title</f>
        <v>BUDGET 2018 aktivitet 517 Undervisningsprogrammer og skoler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S1" s="29"/>
      <c r="T1" s="29"/>
    </row>
    <row r="2" spans="1:20" s="28" customFormat="1" ht="3.75" customHeight="1" x14ac:dyDescent="0.2">
      <c r="A2" s="30"/>
      <c r="B2" s="30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</row>
    <row r="3" spans="1:20" s="33" customFormat="1" ht="15.75" hidden="1" x14ac:dyDescent="0.25">
      <c r="A3" s="32"/>
      <c r="B3" s="32"/>
      <c r="D3" s="34"/>
      <c r="E3" s="33">
        <v>1</v>
      </c>
      <c r="F3" s="33">
        <v>2</v>
      </c>
      <c r="G3" s="33">
        <v>3</v>
      </c>
      <c r="H3" s="33">
        <v>4</v>
      </c>
      <c r="I3" s="33">
        <v>5</v>
      </c>
      <c r="J3" s="33">
        <v>6</v>
      </c>
      <c r="K3" s="33">
        <v>7</v>
      </c>
      <c r="L3" s="33">
        <v>8</v>
      </c>
      <c r="M3" s="33">
        <v>9</v>
      </c>
      <c r="N3" s="28">
        <v>10</v>
      </c>
      <c r="O3" s="35">
        <v>11</v>
      </c>
      <c r="P3" s="33">
        <v>12</v>
      </c>
    </row>
    <row r="4" spans="1:20" collapsed="1" x14ac:dyDescent="0.2"/>
    <row r="5" spans="1:20" hidden="1" outlineLevel="1" x14ac:dyDescent="0.2">
      <c r="D5" s="9"/>
      <c r="E5" s="99" t="s">
        <v>14</v>
      </c>
      <c r="F5" s="99"/>
      <c r="G5" s="99"/>
      <c r="H5" s="99"/>
      <c r="I5" s="99"/>
      <c r="J5" s="99"/>
      <c r="K5" s="99"/>
      <c r="L5" s="99"/>
      <c r="M5" s="99"/>
      <c r="N5" s="9"/>
      <c r="O5" s="9"/>
      <c r="P5" s="9"/>
      <c r="Q5" s="9"/>
    </row>
    <row r="6" spans="1:20" hidden="1" outlineLevel="1" x14ac:dyDescent="0.2">
      <c r="A6" s="36" t="s">
        <v>41</v>
      </c>
      <c r="B6" s="36" t="s">
        <v>42</v>
      </c>
      <c r="C6" s="33"/>
      <c r="D6" s="67" t="s">
        <v>15</v>
      </c>
      <c r="E6" s="36" t="s">
        <v>1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6</v>
      </c>
      <c r="K6" s="36" t="s">
        <v>7</v>
      </c>
      <c r="L6" s="36" t="s">
        <v>8</v>
      </c>
      <c r="M6" s="36" t="s">
        <v>9</v>
      </c>
      <c r="N6" s="36" t="s">
        <v>10</v>
      </c>
      <c r="O6" s="36" t="s">
        <v>11</v>
      </c>
      <c r="P6" s="36" t="s">
        <v>12</v>
      </c>
      <c r="Q6" s="37" t="s">
        <v>0</v>
      </c>
    </row>
    <row r="7" spans="1:20" hidden="1" outlineLevel="1" x14ac:dyDescent="0.2">
      <c r="A7" s="44"/>
      <c r="B7" s="44"/>
      <c r="C7" s="33"/>
      <c r="D7" s="12" t="s">
        <v>30</v>
      </c>
      <c r="E7" s="38"/>
      <c r="F7" s="38"/>
      <c r="G7" s="38"/>
      <c r="H7" s="38"/>
      <c r="I7" s="38"/>
      <c r="J7" s="38"/>
      <c r="K7" s="38"/>
      <c r="L7" s="38" t="s">
        <v>31</v>
      </c>
      <c r="M7" s="38" t="s">
        <v>40</v>
      </c>
      <c r="N7" s="38"/>
      <c r="O7" s="38"/>
      <c r="P7" s="38"/>
      <c r="Q7" s="39"/>
    </row>
    <row r="8" spans="1:20" hidden="1" outlineLevel="1" x14ac:dyDescent="0.2">
      <c r="A8" s="45" t="s">
        <v>43</v>
      </c>
      <c r="B8" s="45">
        <v>101</v>
      </c>
      <c r="C8" s="33"/>
      <c r="D8" s="13" t="s">
        <v>32</v>
      </c>
      <c r="E8" s="47">
        <f>SUMIFS(actual_temp[Kolonne26],actual_temp[Kolonne8],BUDGET!E$3,actual_temp[Kolonne27],BUDGET!$B8)</f>
        <v>0</v>
      </c>
      <c r="F8" s="47">
        <f>SUMIFS(actual_temp[Kolonne26],actual_temp[Kolonne8],BUDGET!F$3,actual_temp[Kolonne27],BUDGET!$B8)</f>
        <v>0</v>
      </c>
      <c r="G8" s="47">
        <f>SUMIFS(actual_temp[Kolonne26],actual_temp[Kolonne8],BUDGET!G$3,actual_temp[Kolonne27],BUDGET!$B8)</f>
        <v>0</v>
      </c>
      <c r="H8" s="47">
        <f>SUMIFS(actual_temp[Kolonne26],actual_temp[Kolonne8],BUDGET!H$3,actual_temp[Kolonne27],BUDGET!$B8)</f>
        <v>0</v>
      </c>
      <c r="I8" s="47">
        <f>SUMIFS(actual_temp[Kolonne26],actual_temp[Kolonne8],BUDGET!I$3,actual_temp[Kolonne27],BUDGET!$B8)</f>
        <v>0</v>
      </c>
      <c r="J8" s="47">
        <f>SUMIFS(actual_temp[Kolonne26],actual_temp[Kolonne8],BUDGET!J$3,actual_temp[Kolonne27],BUDGET!$B8)</f>
        <v>0</v>
      </c>
      <c r="K8" s="47">
        <f>SUMIFS(actual_temp[Kolonne26],actual_temp[Kolonne8],BUDGET!K$3,actual_temp[Kolonne27],BUDGET!$B8)</f>
        <v>0</v>
      </c>
      <c r="L8" s="47">
        <f>SUMIFS(actual_temp[Kolonne26],actual_temp[Kolonne8],BUDGET!L$3,actual_temp[Kolonne27],BUDGET!$B8)</f>
        <v>0</v>
      </c>
      <c r="M8" s="47">
        <f>SUMIFS(actual_temp[Kolonne26],actual_temp[Kolonne8],BUDGET!M$3,actual_temp[Kolonne27],BUDGET!$B8)</f>
        <v>0</v>
      </c>
      <c r="N8" s="14">
        <v>0</v>
      </c>
      <c r="O8" s="14">
        <v>0</v>
      </c>
      <c r="P8" s="14">
        <v>0</v>
      </c>
      <c r="Q8" s="40">
        <f t="shared" ref="Q8:Q17" si="0">SUM(E8:P8)</f>
        <v>0</v>
      </c>
    </row>
    <row r="9" spans="1:20" hidden="1" outlineLevel="1" x14ac:dyDescent="0.2">
      <c r="A9" s="45" t="s">
        <v>43</v>
      </c>
      <c r="B9" s="45">
        <v>102</v>
      </c>
      <c r="C9" s="33"/>
      <c r="D9" s="13" t="s">
        <v>33</v>
      </c>
      <c r="E9" s="47">
        <f>SUMIFS(actual_temp[Kolonne26],actual_temp[Kolonne8],BUDGET!E$3,actual_temp[Kolonne27],BUDGET!$B9)</f>
        <v>0</v>
      </c>
      <c r="F9" s="47">
        <f>SUMIFS(actual_temp[Kolonne26],actual_temp[Kolonne8],BUDGET!F$3,actual_temp[Kolonne27],BUDGET!$B9)</f>
        <v>0</v>
      </c>
      <c r="G9" s="47">
        <f>SUMIFS(actual_temp[Kolonne26],actual_temp[Kolonne8],BUDGET!G$3,actual_temp[Kolonne27],BUDGET!$B9)</f>
        <v>0</v>
      </c>
      <c r="H9" s="47">
        <f>SUMIFS(actual_temp[Kolonne26],actual_temp[Kolonne8],BUDGET!H$3,actual_temp[Kolonne27],BUDGET!$B9)</f>
        <v>0</v>
      </c>
      <c r="I9" s="47">
        <f>SUMIFS(actual_temp[Kolonne26],actual_temp[Kolonne8],BUDGET!I$3,actual_temp[Kolonne27],BUDGET!$B9)</f>
        <v>0</v>
      </c>
      <c r="J9" s="47">
        <f>SUMIFS(actual_temp[Kolonne26],actual_temp[Kolonne8],BUDGET!J$3,actual_temp[Kolonne27],BUDGET!$B9)</f>
        <v>0</v>
      </c>
      <c r="K9" s="47">
        <f>SUMIFS(actual_temp[Kolonne26],actual_temp[Kolonne8],BUDGET!K$3,actual_temp[Kolonne27],BUDGET!$B9)</f>
        <v>0</v>
      </c>
      <c r="L9" s="47">
        <f>SUMIFS(actual_temp[Kolonne26],actual_temp[Kolonne8],BUDGET!L$3,actual_temp[Kolonne27],BUDGET!$B9)</f>
        <v>0</v>
      </c>
      <c r="M9" s="47">
        <f>SUMIFS(actual_temp[Kolonne26],actual_temp[Kolonne8],BUDGET!M$3,actual_temp[Kolonne27],BUDGET!$B9)</f>
        <v>0</v>
      </c>
      <c r="N9" s="14">
        <v>0</v>
      </c>
      <c r="O9" s="14">
        <v>0</v>
      </c>
      <c r="P9" s="14">
        <v>0</v>
      </c>
      <c r="Q9" s="40">
        <f t="shared" si="0"/>
        <v>0</v>
      </c>
    </row>
    <row r="10" spans="1:20" hidden="1" outlineLevel="1" x14ac:dyDescent="0.2">
      <c r="A10" s="45" t="s">
        <v>43</v>
      </c>
      <c r="B10" s="45">
        <v>103</v>
      </c>
      <c r="C10" s="33"/>
      <c r="D10" s="13" t="s">
        <v>34</v>
      </c>
      <c r="E10" s="47">
        <f>SUMIFS(actual_temp[Kolonne26],actual_temp[Kolonne8],BUDGET!E$3,actual_temp[Kolonne27],BUDGET!$B10)</f>
        <v>0</v>
      </c>
      <c r="F10" s="47">
        <f>SUMIFS(actual_temp[Kolonne26],actual_temp[Kolonne8],BUDGET!F$3,actual_temp[Kolonne27],BUDGET!$B10)</f>
        <v>0</v>
      </c>
      <c r="G10" s="47">
        <f>SUMIFS(actual_temp[Kolonne26],actual_temp[Kolonne8],BUDGET!G$3,actual_temp[Kolonne27],BUDGET!$B10)</f>
        <v>0</v>
      </c>
      <c r="H10" s="47">
        <f>SUMIFS(actual_temp[Kolonne26],actual_temp[Kolonne8],BUDGET!H$3,actual_temp[Kolonne27],BUDGET!$B10)</f>
        <v>0</v>
      </c>
      <c r="I10" s="47">
        <f>SUMIFS(actual_temp[Kolonne26],actual_temp[Kolonne8],BUDGET!I$3,actual_temp[Kolonne27],BUDGET!$B10)</f>
        <v>0</v>
      </c>
      <c r="J10" s="47">
        <f>SUMIFS(actual_temp[Kolonne26],actual_temp[Kolonne8],BUDGET!J$3,actual_temp[Kolonne27],BUDGET!$B10)</f>
        <v>0</v>
      </c>
      <c r="K10" s="47">
        <f>SUMIFS(actual_temp[Kolonne26],actual_temp[Kolonne8],BUDGET!K$3,actual_temp[Kolonne27],BUDGET!$B10)</f>
        <v>0</v>
      </c>
      <c r="L10" s="47">
        <f>SUMIFS(actual_temp[Kolonne26],actual_temp[Kolonne8],BUDGET!L$3,actual_temp[Kolonne27],BUDGET!$B10)</f>
        <v>0</v>
      </c>
      <c r="M10" s="47">
        <f>SUMIFS(actual_temp[Kolonne26],actual_temp[Kolonne8],BUDGET!M$3,actual_temp[Kolonne27],BUDGET!$B10)</f>
        <v>0</v>
      </c>
      <c r="N10" s="14">
        <v>0</v>
      </c>
      <c r="O10" s="14">
        <v>0</v>
      </c>
      <c r="P10" s="14">
        <v>0</v>
      </c>
      <c r="Q10" s="40">
        <f t="shared" si="0"/>
        <v>0</v>
      </c>
    </row>
    <row r="11" spans="1:20" hidden="1" outlineLevel="1" x14ac:dyDescent="0.2">
      <c r="A11" s="45" t="s">
        <v>43</v>
      </c>
      <c r="B11" s="45">
        <v>104</v>
      </c>
      <c r="C11" s="33"/>
      <c r="D11" s="13" t="s">
        <v>35</v>
      </c>
      <c r="E11" s="47">
        <f>SUMIFS(actual_temp[Kolonne26],actual_temp[Kolonne8],BUDGET!E$3,actual_temp[Kolonne27],BUDGET!$B11)</f>
        <v>0</v>
      </c>
      <c r="F11" s="47">
        <f>SUMIFS(actual_temp[Kolonne26],actual_temp[Kolonne8],BUDGET!F$3,actual_temp[Kolonne27],BUDGET!$B11)</f>
        <v>0</v>
      </c>
      <c r="G11" s="47">
        <f>SUMIFS(actual_temp[Kolonne26],actual_temp[Kolonne8],BUDGET!G$3,actual_temp[Kolonne27],BUDGET!$B11)</f>
        <v>0</v>
      </c>
      <c r="H11" s="47">
        <f>SUMIFS(actual_temp[Kolonne26],actual_temp[Kolonne8],BUDGET!H$3,actual_temp[Kolonne27],BUDGET!$B11)</f>
        <v>0</v>
      </c>
      <c r="I11" s="47">
        <f>SUMIFS(actual_temp[Kolonne26],actual_temp[Kolonne8],BUDGET!I$3,actual_temp[Kolonne27],BUDGET!$B11)</f>
        <v>0</v>
      </c>
      <c r="J11" s="47">
        <f>SUMIFS(actual_temp[Kolonne26],actual_temp[Kolonne8],BUDGET!J$3,actual_temp[Kolonne27],BUDGET!$B11)</f>
        <v>0</v>
      </c>
      <c r="K11" s="47">
        <f>SUMIFS(actual_temp[Kolonne26],actual_temp[Kolonne8],BUDGET!K$3,actual_temp[Kolonne27],BUDGET!$B11)</f>
        <v>0</v>
      </c>
      <c r="L11" s="47">
        <f>SUMIFS(actual_temp[Kolonne26],actual_temp[Kolonne8],BUDGET!L$3,actual_temp[Kolonne27],BUDGET!$B11)</f>
        <v>0</v>
      </c>
      <c r="M11" s="47">
        <f>SUMIFS(actual_temp[Kolonne26],actual_temp[Kolonne8],BUDGET!M$3,actual_temp[Kolonne27],BUDGET!$B11)</f>
        <v>0</v>
      </c>
      <c r="N11" s="14">
        <v>0</v>
      </c>
      <c r="O11" s="14">
        <v>0</v>
      </c>
      <c r="P11" s="14">
        <v>0</v>
      </c>
      <c r="Q11" s="40">
        <f t="shared" si="0"/>
        <v>0</v>
      </c>
    </row>
    <row r="12" spans="1:20" hidden="1" outlineLevel="1" x14ac:dyDescent="0.2">
      <c r="A12" s="45" t="s">
        <v>43</v>
      </c>
      <c r="B12" s="45">
        <v>105</v>
      </c>
      <c r="C12" s="33"/>
      <c r="D12" s="13" t="s">
        <v>74</v>
      </c>
      <c r="E12" s="47">
        <f>SUMIFS(actual_temp[Kolonne26],actual_temp[Kolonne8],BUDGET!E$3,actual_temp[Kolonne27],BUDGET!$B12)</f>
        <v>0</v>
      </c>
      <c r="F12" s="47">
        <f>SUMIFS(actual_temp[Kolonne26],actual_temp[Kolonne8],BUDGET!F$3,actual_temp[Kolonne27],BUDGET!$B12)</f>
        <v>0</v>
      </c>
      <c r="G12" s="47">
        <f>SUMIFS(actual_temp[Kolonne26],actual_temp[Kolonne8],BUDGET!G$3,actual_temp[Kolonne27],BUDGET!$B12)</f>
        <v>0</v>
      </c>
      <c r="H12" s="47">
        <f>SUMIFS(actual_temp[Kolonne26],actual_temp[Kolonne8],BUDGET!H$3,actual_temp[Kolonne27],BUDGET!$B12)</f>
        <v>0</v>
      </c>
      <c r="I12" s="47">
        <f>SUMIFS(actual_temp[Kolonne26],actual_temp[Kolonne8],BUDGET!I$3,actual_temp[Kolonne27],BUDGET!$B12)</f>
        <v>0</v>
      </c>
      <c r="J12" s="47">
        <f>SUMIFS(actual_temp[Kolonne26],actual_temp[Kolonne8],BUDGET!J$3,actual_temp[Kolonne27],BUDGET!$B12)</f>
        <v>0</v>
      </c>
      <c r="K12" s="47">
        <f>SUMIFS(actual_temp[Kolonne26],actual_temp[Kolonne8],BUDGET!K$3,actual_temp[Kolonne27],BUDGET!$B12)</f>
        <v>0</v>
      </c>
      <c r="L12" s="47">
        <f>SUMIFS(actual_temp[Kolonne26],actual_temp[Kolonne8],BUDGET!L$3,actual_temp[Kolonne27],BUDGET!$B12)</f>
        <v>0</v>
      </c>
      <c r="M12" s="47">
        <f>SUMIFS(actual_temp[Kolonne26],actual_temp[Kolonne8],BUDGET!M$3,actual_temp[Kolonne27],BUDGET!$B12)</f>
        <v>0</v>
      </c>
      <c r="N12" s="14">
        <v>0</v>
      </c>
      <c r="O12" s="14">
        <v>0</v>
      </c>
      <c r="P12" s="14">
        <v>0</v>
      </c>
      <c r="Q12" s="40">
        <f t="shared" si="0"/>
        <v>0</v>
      </c>
    </row>
    <row r="13" spans="1:20" hidden="1" outlineLevel="1" x14ac:dyDescent="0.2">
      <c r="A13" s="45" t="s">
        <v>43</v>
      </c>
      <c r="B13" s="45">
        <v>106</v>
      </c>
      <c r="C13" s="33"/>
      <c r="D13" s="13" t="s">
        <v>77</v>
      </c>
      <c r="E13" s="47">
        <f>SUMIFS(actual_temp[Kolonne26],actual_temp[Kolonne8],BUDGET!E$3,actual_temp[Kolonne27],BUDGET!$B13)</f>
        <v>0</v>
      </c>
      <c r="F13" s="47">
        <f>SUMIFS(actual_temp[Kolonne26],actual_temp[Kolonne8],BUDGET!F$3,actual_temp[Kolonne27],BUDGET!$B13)</f>
        <v>0</v>
      </c>
      <c r="G13" s="47">
        <f>SUMIFS(actual_temp[Kolonne26],actual_temp[Kolonne8],BUDGET!G$3,actual_temp[Kolonne27],BUDGET!$B13)</f>
        <v>0</v>
      </c>
      <c r="H13" s="47">
        <f>SUMIFS(actual_temp[Kolonne26],actual_temp[Kolonne8],BUDGET!H$3,actual_temp[Kolonne27],BUDGET!$B13)</f>
        <v>0</v>
      </c>
      <c r="I13" s="47">
        <f>SUMIFS(actual_temp[Kolonne26],actual_temp[Kolonne8],BUDGET!I$3,actual_temp[Kolonne27],BUDGET!$B13)</f>
        <v>0</v>
      </c>
      <c r="J13" s="47">
        <f>SUMIFS(actual_temp[Kolonne26],actual_temp[Kolonne8],BUDGET!J$3,actual_temp[Kolonne27],BUDGET!$B13)</f>
        <v>0</v>
      </c>
      <c r="K13" s="47">
        <f>SUMIFS(actual_temp[Kolonne26],actual_temp[Kolonne8],BUDGET!K$3,actual_temp[Kolonne27],BUDGET!$B13)</f>
        <v>0</v>
      </c>
      <c r="L13" s="47">
        <f>SUMIFS(actual_temp[Kolonne26],actual_temp[Kolonne8],BUDGET!L$3,actual_temp[Kolonne27],BUDGET!$B13)</f>
        <v>0</v>
      </c>
      <c r="M13" s="47">
        <f>SUMIFS(actual_temp[Kolonne26],actual_temp[Kolonne8],BUDGET!M$3,actual_temp[Kolonne27],BUDGET!$B13)</f>
        <v>0</v>
      </c>
      <c r="N13" s="14">
        <v>0</v>
      </c>
      <c r="O13" s="14">
        <v>0</v>
      </c>
      <c r="P13" s="14">
        <v>0</v>
      </c>
      <c r="Q13" s="40">
        <f t="shared" si="0"/>
        <v>0</v>
      </c>
    </row>
    <row r="14" spans="1:20" hidden="1" outlineLevel="1" x14ac:dyDescent="0.2">
      <c r="A14" s="45" t="s">
        <v>43</v>
      </c>
      <c r="B14" s="45">
        <v>107</v>
      </c>
      <c r="C14" s="33"/>
      <c r="D14" s="13" t="s">
        <v>78</v>
      </c>
      <c r="E14" s="47">
        <f>SUMIFS(actual_temp[Kolonne26],actual_temp[Kolonne8],BUDGET!E$3,actual_temp[Kolonne27],BUDGET!$B14)</f>
        <v>0</v>
      </c>
      <c r="F14" s="47">
        <f>SUMIFS(actual_temp[Kolonne26],actual_temp[Kolonne8],BUDGET!F$3,actual_temp[Kolonne27],BUDGET!$B14)</f>
        <v>0</v>
      </c>
      <c r="G14" s="47">
        <f>SUMIFS(actual_temp[Kolonne26],actual_temp[Kolonne8],BUDGET!G$3,actual_temp[Kolonne27],BUDGET!$B14)</f>
        <v>0</v>
      </c>
      <c r="H14" s="47">
        <f>SUMIFS(actual_temp[Kolonne26],actual_temp[Kolonne8],BUDGET!H$3,actual_temp[Kolonne27],BUDGET!$B14)</f>
        <v>0</v>
      </c>
      <c r="I14" s="47">
        <f>SUMIFS(actual_temp[Kolonne26],actual_temp[Kolonne8],BUDGET!I$3,actual_temp[Kolonne27],BUDGET!$B14)</f>
        <v>0</v>
      </c>
      <c r="J14" s="47">
        <f>SUMIFS(actual_temp[Kolonne26],actual_temp[Kolonne8],BUDGET!J$3,actual_temp[Kolonne27],BUDGET!$B14)</f>
        <v>0</v>
      </c>
      <c r="K14" s="47">
        <f>SUMIFS(actual_temp[Kolonne26],actual_temp[Kolonne8],BUDGET!K$3,actual_temp[Kolonne27],BUDGET!$B14)</f>
        <v>0</v>
      </c>
      <c r="L14" s="47">
        <f>SUMIFS(actual_temp[Kolonne26],actual_temp[Kolonne8],BUDGET!L$3,actual_temp[Kolonne27],BUDGET!$B14)</f>
        <v>0</v>
      </c>
      <c r="M14" s="47">
        <f>SUMIFS(actual_temp[Kolonne26],actual_temp[Kolonne8],BUDGET!M$3,actual_temp[Kolonne27],BUDGET!$B14)</f>
        <v>0</v>
      </c>
      <c r="N14" s="14">
        <v>0</v>
      </c>
      <c r="O14" s="14">
        <v>0</v>
      </c>
      <c r="P14" s="14">
        <v>0</v>
      </c>
      <c r="Q14" s="40">
        <f t="shared" si="0"/>
        <v>0</v>
      </c>
    </row>
    <row r="15" spans="1:20" hidden="1" outlineLevel="1" x14ac:dyDescent="0.2">
      <c r="A15" s="45" t="s">
        <v>43</v>
      </c>
      <c r="B15" s="45">
        <v>108</v>
      </c>
      <c r="C15" s="33"/>
      <c r="D15" s="13" t="s">
        <v>79</v>
      </c>
      <c r="E15" s="47">
        <f>SUMIFS(actual_temp[Kolonne26],actual_temp[Kolonne8],BUDGET!E$3,actual_temp[Kolonne27],BUDGET!$B15)</f>
        <v>0</v>
      </c>
      <c r="F15" s="47">
        <f>SUMIFS(actual_temp[Kolonne26],actual_temp[Kolonne8],BUDGET!F$3,actual_temp[Kolonne27],BUDGET!$B15)</f>
        <v>0</v>
      </c>
      <c r="G15" s="47">
        <f>SUMIFS(actual_temp[Kolonne26],actual_temp[Kolonne8],BUDGET!G$3,actual_temp[Kolonne27],BUDGET!$B15)</f>
        <v>0</v>
      </c>
      <c r="H15" s="47">
        <f>SUMIFS(actual_temp[Kolonne26],actual_temp[Kolonne8],BUDGET!H$3,actual_temp[Kolonne27],BUDGET!$B15)</f>
        <v>0</v>
      </c>
      <c r="I15" s="47">
        <f>SUMIFS(actual_temp[Kolonne26],actual_temp[Kolonne8],BUDGET!I$3,actual_temp[Kolonne27],BUDGET!$B15)</f>
        <v>0</v>
      </c>
      <c r="J15" s="47">
        <f>SUMIFS(actual_temp[Kolonne26],actual_temp[Kolonne8],BUDGET!J$3,actual_temp[Kolonne27],BUDGET!$B15)</f>
        <v>0</v>
      </c>
      <c r="K15" s="47">
        <f>SUMIFS(actual_temp[Kolonne26],actual_temp[Kolonne8],BUDGET!K$3,actual_temp[Kolonne27],BUDGET!$B15)</f>
        <v>0</v>
      </c>
      <c r="L15" s="47">
        <f>SUMIFS(actual_temp[Kolonne26],actual_temp[Kolonne8],BUDGET!L$3,actual_temp[Kolonne27],BUDGET!$B15)</f>
        <v>0</v>
      </c>
      <c r="M15" s="47">
        <f>SUMIFS(actual_temp[Kolonne26],actual_temp[Kolonne8],BUDGET!M$3,actual_temp[Kolonne27],BUDGET!$B15)</f>
        <v>0</v>
      </c>
      <c r="N15" s="14">
        <v>0</v>
      </c>
      <c r="O15" s="14">
        <v>0</v>
      </c>
      <c r="P15" s="14">
        <v>0</v>
      </c>
      <c r="Q15" s="40">
        <f t="shared" si="0"/>
        <v>0</v>
      </c>
    </row>
    <row r="16" spans="1:20" hidden="1" outlineLevel="1" x14ac:dyDescent="0.2">
      <c r="A16" s="45" t="s">
        <v>43</v>
      </c>
      <c r="B16" s="45">
        <v>109</v>
      </c>
      <c r="C16" s="33"/>
      <c r="D16" s="13"/>
      <c r="E16" s="47">
        <f>SUMIFS(actual_temp[Kolonne26],actual_temp[Kolonne8],BUDGET!E$3,actual_temp[Kolonne27],BUDGET!$B16)</f>
        <v>0</v>
      </c>
      <c r="F16" s="47">
        <f>SUMIFS(actual_temp[Kolonne26],actual_temp[Kolonne8],BUDGET!F$3,actual_temp[Kolonne27],BUDGET!$B16)</f>
        <v>0</v>
      </c>
      <c r="G16" s="47">
        <f>SUMIFS(actual_temp[Kolonne26],actual_temp[Kolonne8],BUDGET!G$3,actual_temp[Kolonne27],BUDGET!$B16)</f>
        <v>0</v>
      </c>
      <c r="H16" s="47">
        <f>SUMIFS(actual_temp[Kolonne26],actual_temp[Kolonne8],BUDGET!H$3,actual_temp[Kolonne27],BUDGET!$B16)</f>
        <v>0</v>
      </c>
      <c r="I16" s="47">
        <f>SUMIFS(actual_temp[Kolonne26],actual_temp[Kolonne8],BUDGET!I$3,actual_temp[Kolonne27],BUDGET!$B16)</f>
        <v>0</v>
      </c>
      <c r="J16" s="47">
        <f>SUMIFS(actual_temp[Kolonne26],actual_temp[Kolonne8],BUDGET!J$3,actual_temp[Kolonne27],BUDGET!$B16)</f>
        <v>0</v>
      </c>
      <c r="K16" s="47">
        <f>SUMIFS(actual_temp[Kolonne26],actual_temp[Kolonne8],BUDGET!K$3,actual_temp[Kolonne27],BUDGET!$B16)</f>
        <v>0</v>
      </c>
      <c r="L16" s="47">
        <f>SUMIFS(actual_temp[Kolonne26],actual_temp[Kolonne8],BUDGET!L$3,actual_temp[Kolonne27],BUDGET!$B16)</f>
        <v>0</v>
      </c>
      <c r="M16" s="47">
        <f>SUMIFS(actual_temp[Kolonne26],actual_temp[Kolonne8],BUDGET!M$3,actual_temp[Kolonne27],BUDGET!$B16)</f>
        <v>0</v>
      </c>
      <c r="N16" s="14">
        <v>0</v>
      </c>
      <c r="O16" s="14">
        <v>0</v>
      </c>
      <c r="P16" s="14">
        <v>0</v>
      </c>
      <c r="Q16" s="40">
        <f t="shared" si="0"/>
        <v>0</v>
      </c>
    </row>
    <row r="17" spans="1:19" hidden="1" outlineLevel="1" x14ac:dyDescent="0.2">
      <c r="A17" s="45" t="s">
        <v>43</v>
      </c>
      <c r="B17" s="45">
        <v>110</v>
      </c>
      <c r="C17" s="33"/>
      <c r="D17" s="13"/>
      <c r="E17" s="47">
        <f>SUMIFS(actual_temp[Kolonne26],actual_temp[Kolonne8],BUDGET!E$3,actual_temp[Kolonne27],BUDGET!$B17)</f>
        <v>0</v>
      </c>
      <c r="F17" s="47">
        <f>SUMIFS(actual_temp[Kolonne26],actual_temp[Kolonne8],BUDGET!F$3,actual_temp[Kolonne27],BUDGET!$B17)</f>
        <v>0</v>
      </c>
      <c r="G17" s="47">
        <f>SUMIFS(actual_temp[Kolonne26],actual_temp[Kolonne8],BUDGET!G$3,actual_temp[Kolonne27],BUDGET!$B17)</f>
        <v>0</v>
      </c>
      <c r="H17" s="47">
        <f>SUMIFS(actual_temp[Kolonne26],actual_temp[Kolonne8],BUDGET!H$3,actual_temp[Kolonne27],BUDGET!$B17)</f>
        <v>0</v>
      </c>
      <c r="I17" s="47">
        <f>SUMIFS(actual_temp[Kolonne26],actual_temp[Kolonne8],BUDGET!I$3,actual_temp[Kolonne27],BUDGET!$B17)</f>
        <v>0</v>
      </c>
      <c r="J17" s="47">
        <f>SUMIFS(actual_temp[Kolonne26],actual_temp[Kolonne8],BUDGET!J$3,actual_temp[Kolonne27],BUDGET!$B17)</f>
        <v>0</v>
      </c>
      <c r="K17" s="47">
        <f>SUMIFS(actual_temp[Kolonne26],actual_temp[Kolonne8],BUDGET!K$3,actual_temp[Kolonne27],BUDGET!$B17)</f>
        <v>0</v>
      </c>
      <c r="L17" s="47">
        <f>SUMIFS(actual_temp[Kolonne26],actual_temp[Kolonne8],BUDGET!L$3,actual_temp[Kolonne27],BUDGET!$B17)</f>
        <v>0</v>
      </c>
      <c r="M17" s="47">
        <f>SUMIFS(actual_temp[Kolonne26],actual_temp[Kolonne8],BUDGET!M$3,actual_temp[Kolonne27],BUDGET!$B17)</f>
        <v>0</v>
      </c>
      <c r="N17" s="14">
        <v>0</v>
      </c>
      <c r="O17" s="14">
        <v>0</v>
      </c>
      <c r="P17" s="14">
        <v>0</v>
      </c>
      <c r="Q17" s="40">
        <f t="shared" si="0"/>
        <v>0</v>
      </c>
    </row>
    <row r="18" spans="1:19" hidden="1" outlineLevel="1" x14ac:dyDescent="0.2">
      <c r="A18" s="45" t="s">
        <v>43</v>
      </c>
      <c r="B18" s="45">
        <v>111</v>
      </c>
      <c r="C18" s="33"/>
      <c r="D18" s="13"/>
      <c r="E18" s="47">
        <f>SUMIFS(actual_temp[Kolonne26],actual_temp[Kolonne8],BUDGET!E$3,actual_temp[Kolonne27],BUDGET!$B18)</f>
        <v>0</v>
      </c>
      <c r="F18" s="47">
        <f>SUMIFS(actual_temp[Kolonne26],actual_temp[Kolonne8],BUDGET!F$3,actual_temp[Kolonne27],BUDGET!$B18)</f>
        <v>0</v>
      </c>
      <c r="G18" s="47">
        <f>SUMIFS(actual_temp[Kolonne26],actual_temp[Kolonne8],BUDGET!G$3,actual_temp[Kolonne27],BUDGET!$B18)</f>
        <v>0</v>
      </c>
      <c r="H18" s="47">
        <f>SUMIFS(actual_temp[Kolonne26],actual_temp[Kolonne8],BUDGET!H$3,actual_temp[Kolonne27],BUDGET!$B18)</f>
        <v>0</v>
      </c>
      <c r="I18" s="47">
        <f>SUMIFS(actual_temp[Kolonne26],actual_temp[Kolonne8],BUDGET!I$3,actual_temp[Kolonne27],BUDGET!$B18)</f>
        <v>0</v>
      </c>
      <c r="J18" s="47">
        <f>SUMIFS(actual_temp[Kolonne26],actual_temp[Kolonne8],BUDGET!J$3,actual_temp[Kolonne27],BUDGET!$B18)</f>
        <v>0</v>
      </c>
      <c r="K18" s="47">
        <f>SUMIFS(actual_temp[Kolonne26],actual_temp[Kolonne8],BUDGET!K$3,actual_temp[Kolonne27],BUDGET!$B18)</f>
        <v>0</v>
      </c>
      <c r="L18" s="47">
        <f>SUMIFS(actual_temp[Kolonne26],actual_temp[Kolonne8],BUDGET!L$3,actual_temp[Kolonne27],BUDGET!$B18)</f>
        <v>0</v>
      </c>
      <c r="M18" s="47">
        <f>SUMIFS(actual_temp[Kolonne26],actual_temp[Kolonne8],BUDGET!M$3,actual_temp[Kolonne27],BUDGET!$B18)</f>
        <v>0</v>
      </c>
      <c r="N18" s="14">
        <v>0</v>
      </c>
      <c r="O18" s="14">
        <v>0</v>
      </c>
      <c r="P18" s="14">
        <v>0</v>
      </c>
      <c r="Q18" s="40">
        <f>SUM(E18:P18)</f>
        <v>0</v>
      </c>
    </row>
    <row r="19" spans="1:19" hidden="1" outlineLevel="1" x14ac:dyDescent="0.2">
      <c r="A19" s="44"/>
      <c r="B19" s="44"/>
      <c r="C19" s="33"/>
      <c r="D19" s="12" t="s">
        <v>36</v>
      </c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9"/>
    </row>
    <row r="20" spans="1:19" hidden="1" outlineLevel="1" x14ac:dyDescent="0.2">
      <c r="A20" s="45" t="s">
        <v>43</v>
      </c>
      <c r="B20" s="45">
        <v>201</v>
      </c>
      <c r="C20" s="33"/>
      <c r="D20" s="13" t="s">
        <v>37</v>
      </c>
      <c r="E20" s="47">
        <f>SUMIFS(actual_temp[Kolonne26],actual_temp[Kolonne8],BUDGET!E$3,actual_temp[Kolonne27],BUDGET!$B20)</f>
        <v>0</v>
      </c>
      <c r="F20" s="47">
        <f>SUMIFS(actual_temp[Kolonne26],actual_temp[Kolonne8],BUDGET!F$3,actual_temp[Kolonne27],BUDGET!$B20)</f>
        <v>0</v>
      </c>
      <c r="G20" s="47">
        <f>SUMIFS(actual_temp[Kolonne26],actual_temp[Kolonne8],BUDGET!G$3,actual_temp[Kolonne27],BUDGET!$B20)</f>
        <v>0</v>
      </c>
      <c r="H20" s="47">
        <f>SUMIFS(actual_temp[Kolonne26],actual_temp[Kolonne8],BUDGET!H$3,actual_temp[Kolonne27],BUDGET!$B20)</f>
        <v>0</v>
      </c>
      <c r="I20" s="47">
        <f>SUMIFS(actual_temp[Kolonne26],actual_temp[Kolonne8],BUDGET!I$3,actual_temp[Kolonne27],BUDGET!$B20)</f>
        <v>0</v>
      </c>
      <c r="J20" s="47">
        <f>SUMIFS(actual_temp[Kolonne26],actual_temp[Kolonne8],BUDGET!J$3,actual_temp[Kolonne27],BUDGET!$B20)</f>
        <v>0</v>
      </c>
      <c r="K20" s="47">
        <f>SUMIFS(actual_temp[Kolonne26],actual_temp[Kolonne8],BUDGET!K$3,actual_temp[Kolonne27],BUDGET!$B20)</f>
        <v>0</v>
      </c>
      <c r="L20" s="47">
        <f>SUMIFS(actual_temp[Kolonne26],actual_temp[Kolonne8],BUDGET!L$3,actual_temp[Kolonne27],BUDGET!$B20)</f>
        <v>0</v>
      </c>
      <c r="M20" s="47">
        <f>SUMIFS(actual_temp[Kolonne26],actual_temp[Kolonne8],BUDGET!M$3,actual_temp[Kolonne27],BUDGET!$B20)</f>
        <v>0</v>
      </c>
      <c r="N20" s="14">
        <v>0</v>
      </c>
      <c r="O20" s="14">
        <v>0</v>
      </c>
      <c r="P20" s="14">
        <v>0</v>
      </c>
      <c r="Q20" s="40">
        <f t="shared" ref="Q20:Q31" si="1">SUM(E20:P20)</f>
        <v>0</v>
      </c>
    </row>
    <row r="21" spans="1:19" hidden="1" outlineLevel="1" x14ac:dyDescent="0.2">
      <c r="A21" s="45" t="s">
        <v>43</v>
      </c>
      <c r="B21" s="45">
        <v>202</v>
      </c>
      <c r="C21" s="33"/>
      <c r="D21" s="13" t="s">
        <v>76</v>
      </c>
      <c r="E21" s="47">
        <f>SUMIFS(actual_temp[Kolonne26],actual_temp[Kolonne8],BUDGET!E$3,actual_temp[Kolonne27],BUDGET!$B21)</f>
        <v>0</v>
      </c>
      <c r="F21" s="47">
        <f>SUMIFS(actual_temp[Kolonne26],actual_temp[Kolonne8],BUDGET!F$3,actual_temp[Kolonne27],BUDGET!$B21)</f>
        <v>0</v>
      </c>
      <c r="G21" s="47">
        <f>SUMIFS(actual_temp[Kolonne26],actual_temp[Kolonne8],BUDGET!G$3,actual_temp[Kolonne27],BUDGET!$B21)</f>
        <v>0</v>
      </c>
      <c r="H21" s="47">
        <f>SUMIFS(actual_temp[Kolonne26],actual_temp[Kolonne8],BUDGET!H$3,actual_temp[Kolonne27],BUDGET!$B21)</f>
        <v>0</v>
      </c>
      <c r="I21" s="47">
        <f>SUMIFS(actual_temp[Kolonne26],actual_temp[Kolonne8],BUDGET!I$3,actual_temp[Kolonne27],BUDGET!$B21)</f>
        <v>0</v>
      </c>
      <c r="J21" s="47">
        <f>SUMIFS(actual_temp[Kolonne26],actual_temp[Kolonne8],BUDGET!J$3,actual_temp[Kolonne27],BUDGET!$B21)</f>
        <v>0</v>
      </c>
      <c r="K21" s="47">
        <f>SUMIFS(actual_temp[Kolonne26],actual_temp[Kolonne8],BUDGET!K$3,actual_temp[Kolonne27],BUDGET!$B21)</f>
        <v>0</v>
      </c>
      <c r="L21" s="47">
        <f>SUMIFS(actual_temp[Kolonne26],actual_temp[Kolonne8],BUDGET!L$3,actual_temp[Kolonne27],BUDGET!$B21)</f>
        <v>0</v>
      </c>
      <c r="M21" s="47">
        <f>SUMIFS(actual_temp[Kolonne26],actual_temp[Kolonne8],BUDGET!M$3,actual_temp[Kolonne27],BUDGET!$B21)</f>
        <v>0</v>
      </c>
      <c r="N21" s="14">
        <v>0</v>
      </c>
      <c r="O21" s="14">
        <v>0</v>
      </c>
      <c r="P21" s="14">
        <v>0</v>
      </c>
      <c r="Q21" s="40">
        <f t="shared" si="1"/>
        <v>0</v>
      </c>
    </row>
    <row r="22" spans="1:19" hidden="1" outlineLevel="1" x14ac:dyDescent="0.2">
      <c r="A22" s="45" t="s">
        <v>43</v>
      </c>
      <c r="B22" s="45">
        <v>203</v>
      </c>
      <c r="C22" s="33"/>
      <c r="D22" s="13"/>
      <c r="E22" s="47">
        <f>SUMIFS(actual_temp[Kolonne26],actual_temp[Kolonne8],BUDGET!E$3,actual_temp[Kolonne27],BUDGET!$B22)</f>
        <v>0</v>
      </c>
      <c r="F22" s="47">
        <f>SUMIFS(actual_temp[Kolonne26],actual_temp[Kolonne8],BUDGET!F$3,actual_temp[Kolonne27],BUDGET!$B22)</f>
        <v>0</v>
      </c>
      <c r="G22" s="47">
        <f>SUMIFS(actual_temp[Kolonne26],actual_temp[Kolonne8],BUDGET!G$3,actual_temp[Kolonne27],BUDGET!$B22)</f>
        <v>0</v>
      </c>
      <c r="H22" s="47">
        <f>SUMIFS(actual_temp[Kolonne26],actual_temp[Kolonne8],BUDGET!H$3,actual_temp[Kolonne27],BUDGET!$B22)</f>
        <v>0</v>
      </c>
      <c r="I22" s="47">
        <f>SUMIFS(actual_temp[Kolonne26],actual_temp[Kolonne8],BUDGET!I$3,actual_temp[Kolonne27],BUDGET!$B22)</f>
        <v>0</v>
      </c>
      <c r="J22" s="47">
        <f>SUMIFS(actual_temp[Kolonne26],actual_temp[Kolonne8],BUDGET!J$3,actual_temp[Kolonne27],BUDGET!$B22)</f>
        <v>0</v>
      </c>
      <c r="K22" s="47">
        <f>SUMIFS(actual_temp[Kolonne26],actual_temp[Kolonne8],BUDGET!K$3,actual_temp[Kolonne27],BUDGET!$B22)</f>
        <v>0</v>
      </c>
      <c r="L22" s="47">
        <f>SUMIFS(actual_temp[Kolonne26],actual_temp[Kolonne8],BUDGET!L$3,actual_temp[Kolonne27],BUDGET!$B22)</f>
        <v>0</v>
      </c>
      <c r="M22" s="47">
        <f>SUMIFS(actual_temp[Kolonne26],actual_temp[Kolonne8],BUDGET!M$3,actual_temp[Kolonne27],BUDGET!$B22)</f>
        <v>0</v>
      </c>
      <c r="N22" s="14">
        <v>0</v>
      </c>
      <c r="O22" s="14">
        <v>0</v>
      </c>
      <c r="P22" s="14">
        <v>0</v>
      </c>
      <c r="Q22" s="40">
        <f t="shared" si="1"/>
        <v>0</v>
      </c>
      <c r="R22" s="48"/>
      <c r="S22" s="48"/>
    </row>
    <row r="23" spans="1:19" hidden="1" outlineLevel="1" x14ac:dyDescent="0.2">
      <c r="A23" s="45" t="s">
        <v>43</v>
      </c>
      <c r="B23" s="45">
        <v>204</v>
      </c>
      <c r="C23" s="33"/>
      <c r="D23" s="13"/>
      <c r="E23" s="47">
        <f>SUMIFS(actual_temp[Kolonne26],actual_temp[Kolonne8],BUDGET!E$3,actual_temp[Kolonne27],BUDGET!$B23)</f>
        <v>0</v>
      </c>
      <c r="F23" s="47">
        <f>SUMIFS(actual_temp[Kolonne26],actual_temp[Kolonne8],BUDGET!F$3,actual_temp[Kolonne27],BUDGET!$B23)</f>
        <v>0</v>
      </c>
      <c r="G23" s="47">
        <f>SUMIFS(actual_temp[Kolonne26],actual_temp[Kolonne8],BUDGET!G$3,actual_temp[Kolonne27],BUDGET!$B23)</f>
        <v>0</v>
      </c>
      <c r="H23" s="47">
        <f>SUMIFS(actual_temp[Kolonne26],actual_temp[Kolonne8],BUDGET!H$3,actual_temp[Kolonne27],BUDGET!$B23)</f>
        <v>0</v>
      </c>
      <c r="I23" s="47">
        <f>SUMIFS(actual_temp[Kolonne26],actual_temp[Kolonne8],BUDGET!I$3,actual_temp[Kolonne27],BUDGET!$B23)</f>
        <v>0</v>
      </c>
      <c r="J23" s="47">
        <f>SUMIFS(actual_temp[Kolonne26],actual_temp[Kolonne8],BUDGET!J$3,actual_temp[Kolonne27],BUDGET!$B23)</f>
        <v>0</v>
      </c>
      <c r="K23" s="47">
        <f>SUMIFS(actual_temp[Kolonne26],actual_temp[Kolonne8],BUDGET!K$3,actual_temp[Kolonne27],BUDGET!$B23)</f>
        <v>0</v>
      </c>
      <c r="L23" s="47">
        <f>SUMIFS(actual_temp[Kolonne26],actual_temp[Kolonne8],BUDGET!L$3,actual_temp[Kolonne27],BUDGET!$B23)</f>
        <v>0</v>
      </c>
      <c r="M23" s="47">
        <f>SUMIFS(actual_temp[Kolonne26],actual_temp[Kolonne8],BUDGET!M$3,actual_temp[Kolonne27],BUDGET!$B23)</f>
        <v>0</v>
      </c>
      <c r="N23" s="14">
        <v>0</v>
      </c>
      <c r="O23" s="14">
        <v>0</v>
      </c>
      <c r="P23" s="14">
        <v>0</v>
      </c>
      <c r="Q23" s="40">
        <f t="shared" si="1"/>
        <v>0</v>
      </c>
    </row>
    <row r="24" spans="1:19" hidden="1" outlineLevel="1" x14ac:dyDescent="0.2">
      <c r="A24" s="45" t="s">
        <v>43</v>
      </c>
      <c r="B24" s="45">
        <v>205</v>
      </c>
      <c r="C24" s="33"/>
      <c r="D24" s="13" t="s">
        <v>38</v>
      </c>
      <c r="E24" s="47">
        <f>SUMIFS(actual_temp[Kolonne26],actual_temp[Kolonne8],BUDGET!E$3,actual_temp[Kolonne27],BUDGET!$B24)</f>
        <v>0</v>
      </c>
      <c r="F24" s="47">
        <f>SUMIFS(actual_temp[Kolonne26],actual_temp[Kolonne8],BUDGET!F$3,actual_temp[Kolonne27],BUDGET!$B24)</f>
        <v>0</v>
      </c>
      <c r="G24" s="47">
        <f>SUMIFS(actual_temp[Kolonne26],actual_temp[Kolonne8],BUDGET!G$3,actual_temp[Kolonne27],BUDGET!$B24)</f>
        <v>0</v>
      </c>
      <c r="H24" s="47">
        <f>SUMIFS(actual_temp[Kolonne26],actual_temp[Kolonne8],BUDGET!H$3,actual_temp[Kolonne27],BUDGET!$B24)</f>
        <v>0</v>
      </c>
      <c r="I24" s="47">
        <f>SUMIFS(actual_temp[Kolonne26],actual_temp[Kolonne8],BUDGET!I$3,actual_temp[Kolonne27],BUDGET!$B24)</f>
        <v>0</v>
      </c>
      <c r="J24" s="47">
        <f>SUMIFS(actual_temp[Kolonne26],actual_temp[Kolonne8],BUDGET!J$3,actual_temp[Kolonne27],BUDGET!$B24)</f>
        <v>0</v>
      </c>
      <c r="K24" s="47">
        <f>SUMIFS(actual_temp[Kolonne26],actual_temp[Kolonne8],BUDGET!K$3,actual_temp[Kolonne27],BUDGET!$B24)</f>
        <v>0</v>
      </c>
      <c r="L24" s="47">
        <f>SUMIFS(actual_temp[Kolonne26],actual_temp[Kolonne8],BUDGET!L$3,actual_temp[Kolonne27],BUDGET!$B24)</f>
        <v>0</v>
      </c>
      <c r="M24" s="47">
        <f>SUMIFS(actual_temp[Kolonne26],actual_temp[Kolonne8],BUDGET!M$3,actual_temp[Kolonne27],BUDGET!$B24)</f>
        <v>0</v>
      </c>
      <c r="N24" s="14">
        <v>0</v>
      </c>
      <c r="O24" s="14">
        <v>0</v>
      </c>
      <c r="P24" s="14">
        <v>0</v>
      </c>
      <c r="Q24" s="40">
        <f t="shared" si="1"/>
        <v>0</v>
      </c>
    </row>
    <row r="25" spans="1:19" hidden="1" outlineLevel="1" x14ac:dyDescent="0.2">
      <c r="A25" s="45" t="s">
        <v>43</v>
      </c>
      <c r="B25" s="45">
        <v>206</v>
      </c>
      <c r="C25" s="33"/>
      <c r="D25" s="13" t="s">
        <v>39</v>
      </c>
      <c r="E25" s="47">
        <f>SUMIFS(actual_temp[Kolonne26],actual_temp[Kolonne8],BUDGET!E$3,actual_temp[Kolonne27],BUDGET!$B25)</f>
        <v>0</v>
      </c>
      <c r="F25" s="47">
        <f>SUMIFS(actual_temp[Kolonne26],actual_temp[Kolonne8],BUDGET!F$3,actual_temp[Kolonne27],BUDGET!$B25)</f>
        <v>0</v>
      </c>
      <c r="G25" s="47">
        <f>SUMIFS(actual_temp[Kolonne26],actual_temp[Kolonne8],BUDGET!G$3,actual_temp[Kolonne27],BUDGET!$B25)</f>
        <v>0</v>
      </c>
      <c r="H25" s="47">
        <f>SUMIFS(actual_temp[Kolonne26],actual_temp[Kolonne8],BUDGET!H$3,actual_temp[Kolonne27],BUDGET!$B25)</f>
        <v>0</v>
      </c>
      <c r="I25" s="47">
        <f>SUMIFS(actual_temp[Kolonne26],actual_temp[Kolonne8],BUDGET!I$3,actual_temp[Kolonne27],BUDGET!$B25)</f>
        <v>0</v>
      </c>
      <c r="J25" s="47">
        <f>SUMIFS(actual_temp[Kolonne26],actual_temp[Kolonne8],BUDGET!J$3,actual_temp[Kolonne27],BUDGET!$B25)</f>
        <v>0</v>
      </c>
      <c r="K25" s="47">
        <f>SUMIFS(actual_temp[Kolonne26],actual_temp[Kolonne8],BUDGET!K$3,actual_temp[Kolonne27],BUDGET!$B25)</f>
        <v>0</v>
      </c>
      <c r="L25" s="47">
        <f>SUMIFS(actual_temp[Kolonne26],actual_temp[Kolonne8],BUDGET!L$3,actual_temp[Kolonne27],BUDGET!$B25)</f>
        <v>0</v>
      </c>
      <c r="M25" s="47">
        <f>SUMIFS(actual_temp[Kolonne26],actual_temp[Kolonne8],BUDGET!M$3,actual_temp[Kolonne27],BUDGET!$B25)</f>
        <v>0</v>
      </c>
      <c r="N25" s="14">
        <v>0</v>
      </c>
      <c r="O25" s="14">
        <v>0</v>
      </c>
      <c r="P25" s="14">
        <v>0</v>
      </c>
      <c r="Q25" s="40">
        <f t="shared" si="1"/>
        <v>0</v>
      </c>
    </row>
    <row r="26" spans="1:19" hidden="1" outlineLevel="1" x14ac:dyDescent="0.2">
      <c r="A26" s="45" t="s">
        <v>43</v>
      </c>
      <c r="B26" s="45">
        <v>207</v>
      </c>
      <c r="C26" s="33"/>
      <c r="D26" s="13"/>
      <c r="E26" s="47">
        <f>SUMIFS(actual_temp[Kolonne26],actual_temp[Kolonne8],BUDGET!E$3,actual_temp[Kolonne27],BUDGET!$B26)</f>
        <v>0</v>
      </c>
      <c r="F26" s="47">
        <f>SUMIFS(actual_temp[Kolonne26],actual_temp[Kolonne8],BUDGET!F$3,actual_temp[Kolonne27],BUDGET!$B26)</f>
        <v>0</v>
      </c>
      <c r="G26" s="47">
        <f>SUMIFS(actual_temp[Kolonne26],actual_temp[Kolonne8],BUDGET!G$3,actual_temp[Kolonne27],BUDGET!$B26)</f>
        <v>0</v>
      </c>
      <c r="H26" s="47">
        <f>SUMIFS(actual_temp[Kolonne26],actual_temp[Kolonne8],BUDGET!H$3,actual_temp[Kolonne27],BUDGET!$B26)</f>
        <v>0</v>
      </c>
      <c r="I26" s="47">
        <f>SUMIFS(actual_temp[Kolonne26],actual_temp[Kolonne8],BUDGET!I$3,actual_temp[Kolonne27],BUDGET!$B26)</f>
        <v>0</v>
      </c>
      <c r="J26" s="47">
        <f>SUMIFS(actual_temp[Kolonne26],actual_temp[Kolonne8],BUDGET!J$3,actual_temp[Kolonne27],BUDGET!$B26)</f>
        <v>0</v>
      </c>
      <c r="K26" s="47">
        <f>SUMIFS(actual_temp[Kolonne26],actual_temp[Kolonne8],BUDGET!K$3,actual_temp[Kolonne27],BUDGET!$B26)</f>
        <v>0</v>
      </c>
      <c r="L26" s="47">
        <f>SUMIFS(actual_temp[Kolonne26],actual_temp[Kolonne8],BUDGET!L$3,actual_temp[Kolonne27],BUDGET!$B26)</f>
        <v>0</v>
      </c>
      <c r="M26" s="47">
        <f>SUMIFS(actual_temp[Kolonne26],actual_temp[Kolonne8],BUDGET!M$3,actual_temp[Kolonne27],BUDGET!$B26)</f>
        <v>0</v>
      </c>
      <c r="N26" s="14">
        <v>0</v>
      </c>
      <c r="O26" s="14">
        <v>0</v>
      </c>
      <c r="P26" s="14">
        <v>0</v>
      </c>
      <c r="Q26" s="40">
        <f t="shared" si="1"/>
        <v>0</v>
      </c>
    </row>
    <row r="27" spans="1:19" hidden="1" outlineLevel="1" x14ac:dyDescent="0.2">
      <c r="A27" s="45" t="s">
        <v>43</v>
      </c>
      <c r="B27" s="45">
        <v>208</v>
      </c>
      <c r="C27" s="33"/>
      <c r="D27" s="13"/>
      <c r="E27" s="47">
        <f>SUMIFS(actual_temp[Kolonne26],actual_temp[Kolonne8],BUDGET!E$3,actual_temp[Kolonne27],BUDGET!$B27)</f>
        <v>0</v>
      </c>
      <c r="F27" s="47">
        <f>SUMIFS(actual_temp[Kolonne26],actual_temp[Kolonne8],BUDGET!F$3,actual_temp[Kolonne27],BUDGET!$B27)</f>
        <v>0</v>
      </c>
      <c r="G27" s="47">
        <f>SUMIFS(actual_temp[Kolonne26],actual_temp[Kolonne8],BUDGET!G$3,actual_temp[Kolonne27],BUDGET!$B27)</f>
        <v>0</v>
      </c>
      <c r="H27" s="47">
        <f>SUMIFS(actual_temp[Kolonne26],actual_temp[Kolonne8],BUDGET!H$3,actual_temp[Kolonne27],BUDGET!$B27)</f>
        <v>0</v>
      </c>
      <c r="I27" s="47">
        <f>SUMIFS(actual_temp[Kolonne26],actual_temp[Kolonne8],BUDGET!I$3,actual_temp[Kolonne27],BUDGET!$B27)</f>
        <v>0</v>
      </c>
      <c r="J27" s="47">
        <f>SUMIFS(actual_temp[Kolonne26],actual_temp[Kolonne8],BUDGET!J$3,actual_temp[Kolonne27],BUDGET!$B27)</f>
        <v>0</v>
      </c>
      <c r="K27" s="47">
        <f>SUMIFS(actual_temp[Kolonne26],actual_temp[Kolonne8],BUDGET!K$3,actual_temp[Kolonne27],BUDGET!$B27)</f>
        <v>0</v>
      </c>
      <c r="L27" s="47">
        <f>SUMIFS(actual_temp[Kolonne26],actual_temp[Kolonne8],BUDGET!L$3,actual_temp[Kolonne27],BUDGET!$B27)</f>
        <v>0</v>
      </c>
      <c r="M27" s="47">
        <f>SUMIFS(actual_temp[Kolonne26],actual_temp[Kolonne8],BUDGET!M$3,actual_temp[Kolonne27],BUDGET!$B27)</f>
        <v>0</v>
      </c>
      <c r="N27" s="14">
        <v>0</v>
      </c>
      <c r="O27" s="14">
        <v>0</v>
      </c>
      <c r="P27" s="14">
        <v>0</v>
      </c>
      <c r="Q27" s="40">
        <f t="shared" si="1"/>
        <v>0</v>
      </c>
    </row>
    <row r="28" spans="1:19" hidden="1" outlineLevel="1" x14ac:dyDescent="0.2">
      <c r="A28" s="45" t="s">
        <v>43</v>
      </c>
      <c r="B28" s="45">
        <v>209</v>
      </c>
      <c r="C28" s="33"/>
      <c r="D28" s="13"/>
      <c r="E28" s="47">
        <f>SUMIFS(actual_temp[Kolonne26],actual_temp[Kolonne8],BUDGET!E$3,actual_temp[Kolonne27],BUDGET!$B28)</f>
        <v>0</v>
      </c>
      <c r="F28" s="47">
        <f>SUMIFS(actual_temp[Kolonne26],actual_temp[Kolonne8],BUDGET!F$3,actual_temp[Kolonne27],BUDGET!$B28)</f>
        <v>0</v>
      </c>
      <c r="G28" s="47">
        <f>SUMIFS(actual_temp[Kolonne26],actual_temp[Kolonne8],BUDGET!G$3,actual_temp[Kolonne27],BUDGET!$B28)</f>
        <v>0</v>
      </c>
      <c r="H28" s="47">
        <f>SUMIFS(actual_temp[Kolonne26],actual_temp[Kolonne8],BUDGET!H$3,actual_temp[Kolonne27],BUDGET!$B28)</f>
        <v>0</v>
      </c>
      <c r="I28" s="47">
        <f>SUMIFS(actual_temp[Kolonne26],actual_temp[Kolonne8],BUDGET!I$3,actual_temp[Kolonne27],BUDGET!$B28)</f>
        <v>0</v>
      </c>
      <c r="J28" s="47">
        <f>SUMIFS(actual_temp[Kolonne26],actual_temp[Kolonne8],BUDGET!J$3,actual_temp[Kolonne27],BUDGET!$B28)</f>
        <v>0</v>
      </c>
      <c r="K28" s="47">
        <f>SUMIFS(actual_temp[Kolonne26],actual_temp[Kolonne8],BUDGET!K$3,actual_temp[Kolonne27],BUDGET!$B28)</f>
        <v>0</v>
      </c>
      <c r="L28" s="47">
        <f>SUMIFS(actual_temp[Kolonne26],actual_temp[Kolonne8],BUDGET!L$3,actual_temp[Kolonne27],BUDGET!$B28)</f>
        <v>0</v>
      </c>
      <c r="M28" s="47">
        <f>SUMIFS(actual_temp[Kolonne26],actual_temp[Kolonne8],BUDGET!M$3,actual_temp[Kolonne27],BUDGET!$B28)</f>
        <v>0</v>
      </c>
      <c r="N28" s="14">
        <v>0</v>
      </c>
      <c r="O28" s="14">
        <v>0</v>
      </c>
      <c r="P28" s="14">
        <v>0</v>
      </c>
      <c r="Q28" s="40">
        <f t="shared" si="1"/>
        <v>0</v>
      </c>
    </row>
    <row r="29" spans="1:19" hidden="1" outlineLevel="1" x14ac:dyDescent="0.2">
      <c r="A29" s="45" t="s">
        <v>43</v>
      </c>
      <c r="B29" s="45">
        <v>210</v>
      </c>
      <c r="C29" s="33"/>
      <c r="D29" s="13"/>
      <c r="E29" s="47">
        <f>SUMIFS(actual_temp[Kolonne26],actual_temp[Kolonne8],BUDGET!E$3,actual_temp[Kolonne27],BUDGET!$B29)</f>
        <v>0</v>
      </c>
      <c r="F29" s="47">
        <f>SUMIFS(actual_temp[Kolonne26],actual_temp[Kolonne8],BUDGET!F$3,actual_temp[Kolonne27],BUDGET!$B29)</f>
        <v>0</v>
      </c>
      <c r="G29" s="47">
        <f>SUMIFS(actual_temp[Kolonne26],actual_temp[Kolonne8],BUDGET!G$3,actual_temp[Kolonne27],BUDGET!$B29)</f>
        <v>0</v>
      </c>
      <c r="H29" s="47">
        <f>SUMIFS(actual_temp[Kolonne26],actual_temp[Kolonne8],BUDGET!H$3,actual_temp[Kolonne27],BUDGET!$B29)</f>
        <v>0</v>
      </c>
      <c r="I29" s="47">
        <f>SUMIFS(actual_temp[Kolonne26],actual_temp[Kolonne8],BUDGET!I$3,actual_temp[Kolonne27],BUDGET!$B29)</f>
        <v>0</v>
      </c>
      <c r="J29" s="47">
        <f>SUMIFS(actual_temp[Kolonne26],actual_temp[Kolonne8],BUDGET!J$3,actual_temp[Kolonne27],BUDGET!$B29)</f>
        <v>0</v>
      </c>
      <c r="K29" s="47">
        <f>SUMIFS(actual_temp[Kolonne26],actual_temp[Kolonne8],BUDGET!K$3,actual_temp[Kolonne27],BUDGET!$B29)</f>
        <v>0</v>
      </c>
      <c r="L29" s="47">
        <f>SUMIFS(actual_temp[Kolonne26],actual_temp[Kolonne8],BUDGET!L$3,actual_temp[Kolonne27],BUDGET!$B29)</f>
        <v>0</v>
      </c>
      <c r="M29" s="47">
        <f>SUMIFS(actual_temp[Kolonne26],actual_temp[Kolonne8],BUDGET!M$3,actual_temp[Kolonne27],BUDGET!$B29)</f>
        <v>0</v>
      </c>
      <c r="N29" s="14">
        <v>0</v>
      </c>
      <c r="O29" s="14">
        <v>0</v>
      </c>
      <c r="P29" s="14">
        <v>0</v>
      </c>
      <c r="Q29" s="40">
        <f t="shared" si="1"/>
        <v>0</v>
      </c>
    </row>
    <row r="30" spans="1:19" hidden="1" outlineLevel="1" x14ac:dyDescent="0.2">
      <c r="A30" s="45" t="s">
        <v>43</v>
      </c>
      <c r="B30" s="45">
        <v>211</v>
      </c>
      <c r="C30" s="33"/>
      <c r="D30" s="13"/>
      <c r="E30" s="47">
        <f>SUMIFS(actual_temp[Kolonne26],actual_temp[Kolonne8],BUDGET!E$3,actual_temp[Kolonne27],BUDGET!$B30)</f>
        <v>0</v>
      </c>
      <c r="F30" s="47">
        <f>SUMIFS(actual_temp[Kolonne26],actual_temp[Kolonne8],BUDGET!F$3,actual_temp[Kolonne27],BUDGET!$B30)</f>
        <v>0</v>
      </c>
      <c r="G30" s="47">
        <f>SUMIFS(actual_temp[Kolonne26],actual_temp[Kolonne8],BUDGET!G$3,actual_temp[Kolonne27],BUDGET!$B30)</f>
        <v>0</v>
      </c>
      <c r="H30" s="47">
        <f>SUMIFS(actual_temp[Kolonne26],actual_temp[Kolonne8],BUDGET!H$3,actual_temp[Kolonne27],BUDGET!$B30)</f>
        <v>0</v>
      </c>
      <c r="I30" s="47">
        <f>SUMIFS(actual_temp[Kolonne26],actual_temp[Kolonne8],BUDGET!I$3,actual_temp[Kolonne27],BUDGET!$B30)</f>
        <v>0</v>
      </c>
      <c r="J30" s="47">
        <f>SUMIFS(actual_temp[Kolonne26],actual_temp[Kolonne8],BUDGET!J$3,actual_temp[Kolonne27],BUDGET!$B30)</f>
        <v>0</v>
      </c>
      <c r="K30" s="47">
        <f>SUMIFS(actual_temp[Kolonne26],actual_temp[Kolonne8],BUDGET!K$3,actual_temp[Kolonne27],BUDGET!$B30)</f>
        <v>0</v>
      </c>
      <c r="L30" s="47">
        <f>SUMIFS(actual_temp[Kolonne26],actual_temp[Kolonne8],BUDGET!L$3,actual_temp[Kolonne27],BUDGET!$B30)</f>
        <v>0</v>
      </c>
      <c r="M30" s="47">
        <f>SUMIFS(actual_temp[Kolonne26],actual_temp[Kolonne8],BUDGET!M$3,actual_temp[Kolonne27],BUDGET!$B30)</f>
        <v>0</v>
      </c>
      <c r="N30" s="14">
        <v>0</v>
      </c>
      <c r="O30" s="14">
        <v>0</v>
      </c>
      <c r="P30" s="14">
        <v>0</v>
      </c>
      <c r="Q30" s="40">
        <f t="shared" si="1"/>
        <v>0</v>
      </c>
    </row>
    <row r="31" spans="1:19" hidden="1" outlineLevel="1" x14ac:dyDescent="0.2">
      <c r="A31" s="45" t="s">
        <v>43</v>
      </c>
      <c r="B31" s="45">
        <v>212</v>
      </c>
      <c r="C31" s="33"/>
      <c r="D31" s="13"/>
      <c r="E31" s="47">
        <f>SUMIFS(actual_temp[Kolonne26],actual_temp[Kolonne8],BUDGET!E$3,actual_temp[Kolonne27],BUDGET!$B31)</f>
        <v>0</v>
      </c>
      <c r="F31" s="47">
        <f>SUMIFS(actual_temp[Kolonne26],actual_temp[Kolonne8],BUDGET!F$3,actual_temp[Kolonne27],BUDGET!$B31)</f>
        <v>0</v>
      </c>
      <c r="G31" s="47">
        <f>SUMIFS(actual_temp[Kolonne26],actual_temp[Kolonne8],BUDGET!G$3,actual_temp[Kolonne27],BUDGET!$B31)</f>
        <v>0</v>
      </c>
      <c r="H31" s="47">
        <f>SUMIFS(actual_temp[Kolonne26],actual_temp[Kolonne8],BUDGET!H$3,actual_temp[Kolonne27],BUDGET!$B31)</f>
        <v>0</v>
      </c>
      <c r="I31" s="47">
        <f>SUMIFS(actual_temp[Kolonne26],actual_temp[Kolonne8],BUDGET!I$3,actual_temp[Kolonne27],BUDGET!$B31)</f>
        <v>0</v>
      </c>
      <c r="J31" s="47">
        <f>SUMIFS(actual_temp[Kolonne26],actual_temp[Kolonne8],BUDGET!J$3,actual_temp[Kolonne27],BUDGET!$B31)</f>
        <v>0</v>
      </c>
      <c r="K31" s="47">
        <f>SUMIFS(actual_temp[Kolonne26],actual_temp[Kolonne8],BUDGET!K$3,actual_temp[Kolonne27],BUDGET!$B31)</f>
        <v>0</v>
      </c>
      <c r="L31" s="47">
        <f>SUMIFS(actual_temp[Kolonne26],actual_temp[Kolonne8],BUDGET!L$3,actual_temp[Kolonne27],BUDGET!$B31)</f>
        <v>0</v>
      </c>
      <c r="M31" s="47">
        <f>SUMIFS(actual_temp[Kolonne26],actual_temp[Kolonne8],BUDGET!M$3,actual_temp[Kolonne27],BUDGET!$B31)</f>
        <v>0</v>
      </c>
      <c r="N31" s="14">
        <v>0</v>
      </c>
      <c r="O31" s="14">
        <v>0</v>
      </c>
      <c r="P31" s="14">
        <v>0</v>
      </c>
      <c r="Q31" s="40">
        <f t="shared" si="1"/>
        <v>0</v>
      </c>
    </row>
    <row r="32" spans="1:19" hidden="1" outlineLevel="1" x14ac:dyDescent="0.2">
      <c r="A32" s="45" t="s">
        <v>43</v>
      </c>
      <c r="B32" s="45">
        <v>213</v>
      </c>
      <c r="C32" s="33"/>
      <c r="D32" s="13"/>
      <c r="E32" s="47">
        <f>SUMIFS(actual_temp[Kolonne26],actual_temp[Kolonne8],BUDGET!E$3,actual_temp[Kolonne27],BUDGET!$B32)</f>
        <v>0</v>
      </c>
      <c r="F32" s="47">
        <f>SUMIFS(actual_temp[Kolonne26],actual_temp[Kolonne8],BUDGET!F$3,actual_temp[Kolonne27],BUDGET!$B32)</f>
        <v>0</v>
      </c>
      <c r="G32" s="47">
        <f>SUMIFS(actual_temp[Kolonne26],actual_temp[Kolonne8],BUDGET!G$3,actual_temp[Kolonne27],BUDGET!$B32)</f>
        <v>0</v>
      </c>
      <c r="H32" s="47">
        <f>SUMIFS(actual_temp[Kolonne26],actual_temp[Kolonne8],BUDGET!H$3,actual_temp[Kolonne27],BUDGET!$B32)</f>
        <v>0</v>
      </c>
      <c r="I32" s="47">
        <f>SUMIFS(actual_temp[Kolonne26],actual_temp[Kolonne8],BUDGET!I$3,actual_temp[Kolonne27],BUDGET!$B32)</f>
        <v>0</v>
      </c>
      <c r="J32" s="47">
        <f>SUMIFS(actual_temp[Kolonne26],actual_temp[Kolonne8],BUDGET!J$3,actual_temp[Kolonne27],BUDGET!$B32)</f>
        <v>0</v>
      </c>
      <c r="K32" s="47">
        <f>SUMIFS(actual_temp[Kolonne26],actual_temp[Kolonne8],BUDGET!K$3,actual_temp[Kolonne27],BUDGET!$B32)</f>
        <v>0</v>
      </c>
      <c r="L32" s="47">
        <f>SUMIFS(actual_temp[Kolonne26],actual_temp[Kolonne8],BUDGET!L$3,actual_temp[Kolonne27],BUDGET!$B32)</f>
        <v>0</v>
      </c>
      <c r="M32" s="47">
        <f>SUMIFS(actual_temp[Kolonne26],actual_temp[Kolonne8],BUDGET!M$3,actual_temp[Kolonne27],BUDGET!$B32)</f>
        <v>0</v>
      </c>
      <c r="N32" s="14">
        <v>0</v>
      </c>
      <c r="O32" s="14">
        <v>0</v>
      </c>
      <c r="P32" s="14">
        <v>0</v>
      </c>
      <c r="Q32" s="40">
        <f>SUM(E32:P32)</f>
        <v>0</v>
      </c>
    </row>
    <row r="33" spans="1:19" hidden="1" outlineLevel="1" x14ac:dyDescent="0.2">
      <c r="A33" s="46" t="s">
        <v>44</v>
      </c>
      <c r="B33" s="46" t="s">
        <v>49</v>
      </c>
      <c r="C33" s="33"/>
      <c r="D33" s="15" t="s">
        <v>20</v>
      </c>
      <c r="E33" s="40">
        <f t="shared" ref="E33:M33" si="2">SUM(E7:E32)</f>
        <v>0</v>
      </c>
      <c r="F33" s="40">
        <f t="shared" si="2"/>
        <v>0</v>
      </c>
      <c r="G33" s="40">
        <f t="shared" si="2"/>
        <v>0</v>
      </c>
      <c r="H33" s="40">
        <f t="shared" si="2"/>
        <v>0</v>
      </c>
      <c r="I33" s="40">
        <f t="shared" si="2"/>
        <v>0</v>
      </c>
      <c r="J33" s="40">
        <f t="shared" si="2"/>
        <v>0</v>
      </c>
      <c r="K33" s="40">
        <f t="shared" si="2"/>
        <v>0</v>
      </c>
      <c r="L33" s="40">
        <f t="shared" si="2"/>
        <v>0</v>
      </c>
      <c r="M33" s="40">
        <f t="shared" si="2"/>
        <v>0</v>
      </c>
      <c r="N33" s="40">
        <f t="shared" ref="N33:P33" si="3">SUM(N8:N32)</f>
        <v>0</v>
      </c>
      <c r="O33" s="40">
        <f t="shared" si="3"/>
        <v>0</v>
      </c>
      <c r="P33" s="40">
        <f t="shared" si="3"/>
        <v>0</v>
      </c>
      <c r="Q33" s="40">
        <f>SUM(E33:P33)</f>
        <v>0</v>
      </c>
    </row>
    <row r="34" spans="1:19" hidden="1" outlineLevel="1" x14ac:dyDescent="0.2">
      <c r="A34" s="41" t="s">
        <v>69</v>
      </c>
      <c r="B34" s="42"/>
      <c r="C34"/>
      <c r="D34" s="43" t="s">
        <v>71</v>
      </c>
      <c r="E34" s="43">
        <f>SUMIF(actual_temp[Kolonne8],E3,actual_temp[Kolonne26])</f>
        <v>0</v>
      </c>
      <c r="F34" s="43">
        <f>SUMIF(actual_temp[Kolonne8],F3,actual_temp[Kolonne26])</f>
        <v>0</v>
      </c>
      <c r="G34" s="43">
        <f>SUMIF(actual_temp[Kolonne8],G3,actual_temp[Kolonne26])</f>
        <v>0</v>
      </c>
      <c r="H34" s="43">
        <f>SUMIF(actual_temp[Kolonne8],H3,actual_temp[Kolonne26])</f>
        <v>0</v>
      </c>
      <c r="I34" s="43">
        <f>SUMIF(actual_temp[Kolonne8],I3,actual_temp[Kolonne26])</f>
        <v>0</v>
      </c>
      <c r="J34" s="43">
        <f>SUMIF(actual_temp[Kolonne8],J3,actual_temp[Kolonne26])</f>
        <v>0</v>
      </c>
      <c r="K34" s="43">
        <f>SUMIF(actual_temp[Kolonne8],K3,actual_temp[Kolonne26])</f>
        <v>0</v>
      </c>
      <c r="L34" s="43">
        <f>SUMIF(actual_temp[Kolonne8],L3,actual_temp[Kolonne26])</f>
        <v>0</v>
      </c>
      <c r="M34" s="43">
        <f>SUMIF(actual_temp[Kolonne8],M3,actual_temp[Kolonne26])</f>
        <v>0</v>
      </c>
      <c r="N34" s="43"/>
      <c r="O34" s="43"/>
      <c r="P34" s="43"/>
      <c r="Q34" s="43"/>
    </row>
    <row r="35" spans="1:19" hidden="1" outlineLevel="1" x14ac:dyDescent="0.2">
      <c r="A35" s="41" t="s">
        <v>69</v>
      </c>
      <c r="B35" s="42"/>
      <c r="C35"/>
      <c r="D35" s="43" t="s">
        <v>70</v>
      </c>
      <c r="E35" s="43">
        <f t="shared" ref="E35:M35" si="4">+E34-E33</f>
        <v>0</v>
      </c>
      <c r="F35" s="43">
        <f t="shared" si="4"/>
        <v>0</v>
      </c>
      <c r="G35" s="43">
        <f t="shared" si="4"/>
        <v>0</v>
      </c>
      <c r="H35" s="43">
        <f t="shared" si="4"/>
        <v>0</v>
      </c>
      <c r="I35" s="43">
        <f t="shared" si="4"/>
        <v>0</v>
      </c>
      <c r="J35" s="43">
        <f t="shared" si="4"/>
        <v>0</v>
      </c>
      <c r="K35" s="43">
        <f t="shared" si="4"/>
        <v>0</v>
      </c>
      <c r="L35" s="43">
        <f t="shared" si="4"/>
        <v>0</v>
      </c>
      <c r="M35" s="43">
        <f t="shared" si="4"/>
        <v>0</v>
      </c>
      <c r="N35" s="43"/>
      <c r="O35" s="43"/>
      <c r="P35" s="43"/>
      <c r="Q35" s="43"/>
    </row>
    <row r="36" spans="1:19" hidden="1" outlineLevel="1" x14ac:dyDescent="0.2"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7" t="s">
        <v>26</v>
      </c>
      <c r="Q36" s="18">
        <f>Q33-Q70</f>
        <v>0</v>
      </c>
      <c r="R36" s="19"/>
      <c r="S36" s="20"/>
    </row>
    <row r="37" spans="1:19" hidden="1" outlineLevel="1" x14ac:dyDescent="0.2"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01" t="s">
        <v>16</v>
      </c>
      <c r="Q37" s="101"/>
      <c r="R37" s="19"/>
      <c r="S37" s="20"/>
    </row>
    <row r="38" spans="1:19" hidden="1" outlineLevel="1" x14ac:dyDescent="0.2"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01" t="s">
        <v>17</v>
      </c>
      <c r="Q38" s="101"/>
      <c r="R38" s="19"/>
      <c r="S38" s="20"/>
    </row>
    <row r="39" spans="1:19" hidden="1" outlineLevel="1" x14ac:dyDescent="0.2"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21" t="s">
        <v>18</v>
      </c>
      <c r="Q39" s="21" t="s">
        <v>19</v>
      </c>
      <c r="R39" s="19"/>
      <c r="S39" s="20"/>
    </row>
    <row r="40" spans="1:19" hidden="1" outlineLevel="1" x14ac:dyDescent="0.2">
      <c r="P40" s="19">
        <f>K33+L33+M33-K70-L70-M70</f>
        <v>0</v>
      </c>
      <c r="Q40" s="20" t="e">
        <f>P40/(K70+L70+M70)</f>
        <v>#DIV/0!</v>
      </c>
    </row>
    <row r="41" spans="1:19" collapsed="1" x14ac:dyDescent="0.2">
      <c r="P41" s="19"/>
      <c r="Q41" s="20"/>
    </row>
    <row r="42" spans="1:19" hidden="1" outlineLevel="1" x14ac:dyDescent="0.2">
      <c r="D42" s="9"/>
      <c r="E42" s="99" t="s">
        <v>21</v>
      </c>
      <c r="F42" s="99"/>
      <c r="G42" s="99"/>
      <c r="H42" s="99"/>
      <c r="I42" s="99"/>
      <c r="J42" s="99"/>
      <c r="K42" s="9"/>
      <c r="L42" s="9"/>
      <c r="M42" s="9"/>
      <c r="N42" s="9"/>
      <c r="O42" s="9"/>
      <c r="P42" s="9"/>
      <c r="Q42" s="9"/>
    </row>
    <row r="43" spans="1:19" hidden="1" outlineLevel="1" x14ac:dyDescent="0.2">
      <c r="A43" s="36" t="s">
        <v>41</v>
      </c>
      <c r="B43" s="36" t="s">
        <v>42</v>
      </c>
      <c r="C43" s="33"/>
      <c r="D43" s="67" t="s">
        <v>22</v>
      </c>
      <c r="E43" s="36" t="s">
        <v>1</v>
      </c>
      <c r="F43" s="36" t="s">
        <v>2</v>
      </c>
      <c r="G43" s="36" t="s">
        <v>3</v>
      </c>
      <c r="H43" s="36" t="s">
        <v>4</v>
      </c>
      <c r="I43" s="36" t="s">
        <v>5</v>
      </c>
      <c r="J43" s="36" t="s">
        <v>6</v>
      </c>
      <c r="K43" s="36" t="s">
        <v>7</v>
      </c>
      <c r="L43" s="36" t="s">
        <v>8</v>
      </c>
      <c r="M43" s="36" t="s">
        <v>9</v>
      </c>
      <c r="N43" s="36" t="s">
        <v>10</v>
      </c>
      <c r="O43" s="36" t="s">
        <v>11</v>
      </c>
      <c r="P43" s="36" t="s">
        <v>12</v>
      </c>
      <c r="Q43" s="37" t="s">
        <v>0</v>
      </c>
    </row>
    <row r="44" spans="1:19" hidden="1" outlineLevel="1" x14ac:dyDescent="0.2">
      <c r="A44" s="44"/>
      <c r="B44" s="44"/>
      <c r="C44" s="33"/>
      <c r="D44" s="12" t="s">
        <v>30</v>
      </c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9"/>
    </row>
    <row r="45" spans="1:19" hidden="1" outlineLevel="1" x14ac:dyDescent="0.2">
      <c r="A45" s="45" t="s">
        <v>43</v>
      </c>
      <c r="B45" s="45">
        <v>101</v>
      </c>
      <c r="C45" s="33"/>
      <c r="D45" s="13" t="s">
        <v>32</v>
      </c>
      <c r="E45" s="47">
        <f>SUMIFS(actual_temp[Kolonne26],actual_temp[Kolonne8],BUDGET!E$3,actual_temp[Kolonne27],BUDGET!$B45)</f>
        <v>0</v>
      </c>
      <c r="F45" s="47">
        <f>SUMIFS(actual_temp[Kolonne26],actual_temp[Kolonne8],BUDGET!F$3,actual_temp[Kolonne27],BUDGET!$B45)</f>
        <v>0</v>
      </c>
      <c r="G45" s="47">
        <f>SUMIFS(actual_temp[Kolonne26],actual_temp[Kolonne8],BUDGET!G$3,actual_temp[Kolonne27],BUDGET!$B45)</f>
        <v>0</v>
      </c>
      <c r="H45" s="47">
        <f>SUMIFS(actual_temp[Kolonne26],actual_temp[Kolonne8],BUDGET!H$3,actual_temp[Kolonne27],BUDGET!$B45)</f>
        <v>0</v>
      </c>
      <c r="I45" s="47">
        <f>SUMIFS(actual_temp[Kolonne26],actual_temp[Kolonne8],BUDGET!I$3,actual_temp[Kolonne27],BUDGET!$B45)</f>
        <v>0</v>
      </c>
      <c r="J45" s="47">
        <f>SUMIFS(actual_temp[Kolonne26],actual_temp[Kolonne8],BUDGET!J$3,actual_temp[Kolonne27],BUDGET!$B45)</f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6">
        <v>0</v>
      </c>
      <c r="Q45" s="40">
        <f t="shared" ref="Q45:Q54" si="5">SUM(E45:P45)</f>
        <v>0</v>
      </c>
    </row>
    <row r="46" spans="1:19" hidden="1" outlineLevel="1" x14ac:dyDescent="0.2">
      <c r="A46" s="45" t="s">
        <v>43</v>
      </c>
      <c r="B46" s="45">
        <v>102</v>
      </c>
      <c r="C46" s="33"/>
      <c r="D46" s="13" t="s">
        <v>33</v>
      </c>
      <c r="E46" s="47">
        <f>SUMIFS(actual_temp[Kolonne26],actual_temp[Kolonne8],BUDGET!E$3,actual_temp[Kolonne27],BUDGET!$B46)</f>
        <v>0</v>
      </c>
      <c r="F46" s="47">
        <f>SUMIFS(actual_temp[Kolonne26],actual_temp[Kolonne8],BUDGET!F$3,actual_temp[Kolonne27],BUDGET!$B46)</f>
        <v>0</v>
      </c>
      <c r="G46" s="47">
        <f>SUMIFS(actual_temp[Kolonne26],actual_temp[Kolonne8],BUDGET!G$3,actual_temp[Kolonne27],BUDGET!$B46)</f>
        <v>0</v>
      </c>
      <c r="H46" s="47">
        <f>SUMIFS(actual_temp[Kolonne26],actual_temp[Kolonne8],BUDGET!H$3,actual_temp[Kolonne27],BUDGET!$B46)</f>
        <v>0</v>
      </c>
      <c r="I46" s="47">
        <f>SUMIFS(actual_temp[Kolonne26],actual_temp[Kolonne8],BUDGET!I$3,actual_temp[Kolonne27],BUDGET!$B46)</f>
        <v>0</v>
      </c>
      <c r="J46" s="47">
        <f>SUMIFS(actual_temp[Kolonne26],actual_temp[Kolonne8],BUDGET!J$3,actual_temp[Kolonne27],BUDGET!$B46)</f>
        <v>0</v>
      </c>
      <c r="K46" s="76">
        <v>0</v>
      </c>
      <c r="L46" s="76">
        <v>0</v>
      </c>
      <c r="M46" s="76">
        <v>0</v>
      </c>
      <c r="N46" s="76">
        <v>0</v>
      </c>
      <c r="O46" s="76">
        <v>0</v>
      </c>
      <c r="P46" s="76">
        <v>0</v>
      </c>
      <c r="Q46" s="40">
        <f t="shared" si="5"/>
        <v>0</v>
      </c>
    </row>
    <row r="47" spans="1:19" hidden="1" outlineLevel="1" x14ac:dyDescent="0.2">
      <c r="A47" s="45" t="s">
        <v>43</v>
      </c>
      <c r="B47" s="45">
        <v>103</v>
      </c>
      <c r="C47" s="33"/>
      <c r="D47" s="13" t="s">
        <v>34</v>
      </c>
      <c r="E47" s="47">
        <f>SUMIFS(actual_temp[Kolonne26],actual_temp[Kolonne8],BUDGET!E$3,actual_temp[Kolonne27],BUDGET!$B47)</f>
        <v>0</v>
      </c>
      <c r="F47" s="47">
        <f>SUMIFS(actual_temp[Kolonne26],actual_temp[Kolonne8],BUDGET!F$3,actual_temp[Kolonne27],BUDGET!$B47)</f>
        <v>0</v>
      </c>
      <c r="G47" s="47">
        <f>SUMIFS(actual_temp[Kolonne26],actual_temp[Kolonne8],BUDGET!G$3,actual_temp[Kolonne27],BUDGET!$B47)</f>
        <v>0</v>
      </c>
      <c r="H47" s="47">
        <f>SUMIFS(actual_temp[Kolonne26],actual_temp[Kolonne8],BUDGET!H$3,actual_temp[Kolonne27],BUDGET!$B47)</f>
        <v>0</v>
      </c>
      <c r="I47" s="47">
        <f>SUMIFS(actual_temp[Kolonne26],actual_temp[Kolonne8],BUDGET!I$3,actual_temp[Kolonne27],BUDGET!$B47)</f>
        <v>0</v>
      </c>
      <c r="J47" s="47">
        <f>SUMIFS(actual_temp[Kolonne26],actual_temp[Kolonne8],BUDGET!J$3,actual_temp[Kolonne27],BUDGET!$B47)</f>
        <v>0</v>
      </c>
      <c r="K47" s="76">
        <v>0</v>
      </c>
      <c r="L47" s="76">
        <v>0</v>
      </c>
      <c r="M47" s="76">
        <v>0</v>
      </c>
      <c r="N47" s="76">
        <v>0</v>
      </c>
      <c r="O47" s="76">
        <v>0</v>
      </c>
      <c r="P47" s="76">
        <v>0</v>
      </c>
      <c r="Q47" s="40">
        <f t="shared" si="5"/>
        <v>0</v>
      </c>
    </row>
    <row r="48" spans="1:19" hidden="1" outlineLevel="1" x14ac:dyDescent="0.2">
      <c r="A48" s="45" t="s">
        <v>43</v>
      </c>
      <c r="B48" s="45">
        <v>104</v>
      </c>
      <c r="C48" s="33"/>
      <c r="D48" s="13" t="s">
        <v>35</v>
      </c>
      <c r="E48" s="47">
        <f>SUMIFS(actual_temp[Kolonne26],actual_temp[Kolonne8],BUDGET!E$3,actual_temp[Kolonne27],BUDGET!$B48)</f>
        <v>0</v>
      </c>
      <c r="F48" s="47">
        <f>SUMIFS(actual_temp[Kolonne26],actual_temp[Kolonne8],BUDGET!F$3,actual_temp[Kolonne27],BUDGET!$B48)</f>
        <v>0</v>
      </c>
      <c r="G48" s="47">
        <f>SUMIFS(actual_temp[Kolonne26],actual_temp[Kolonne8],BUDGET!G$3,actual_temp[Kolonne27],BUDGET!$B48)</f>
        <v>0</v>
      </c>
      <c r="H48" s="47">
        <f>SUMIFS(actual_temp[Kolonne26],actual_temp[Kolonne8],BUDGET!H$3,actual_temp[Kolonne27],BUDGET!$B48)</f>
        <v>0</v>
      </c>
      <c r="I48" s="47">
        <f>SUMIFS(actual_temp[Kolonne26],actual_temp[Kolonne8],BUDGET!I$3,actual_temp[Kolonne27],BUDGET!$B48)</f>
        <v>0</v>
      </c>
      <c r="J48" s="47">
        <f>SUMIFS(actual_temp[Kolonne26],actual_temp[Kolonne8],BUDGET!J$3,actual_temp[Kolonne27],BUDGET!$B48)</f>
        <v>0</v>
      </c>
      <c r="K48" s="76">
        <v>0</v>
      </c>
      <c r="L48" s="76">
        <v>0</v>
      </c>
      <c r="M48" s="76">
        <v>0</v>
      </c>
      <c r="N48" s="76">
        <v>0</v>
      </c>
      <c r="O48" s="76">
        <v>0</v>
      </c>
      <c r="P48" s="76">
        <v>0</v>
      </c>
      <c r="Q48" s="40">
        <f t="shared" si="5"/>
        <v>0</v>
      </c>
    </row>
    <row r="49" spans="1:17" hidden="1" outlineLevel="1" x14ac:dyDescent="0.2">
      <c r="A49" s="45" t="s">
        <v>43</v>
      </c>
      <c r="B49" s="45">
        <v>105</v>
      </c>
      <c r="C49" s="33"/>
      <c r="D49" s="13" t="s">
        <v>74</v>
      </c>
      <c r="E49" s="47">
        <f>SUMIFS(actual_temp[Kolonne26],actual_temp[Kolonne8],BUDGET!E$3,actual_temp[Kolonne27],BUDGET!$B49)</f>
        <v>0</v>
      </c>
      <c r="F49" s="47">
        <f>SUMIFS(actual_temp[Kolonne26],actual_temp[Kolonne8],BUDGET!F$3,actual_temp[Kolonne27],BUDGET!$B49)</f>
        <v>0</v>
      </c>
      <c r="G49" s="47">
        <f>SUMIFS(actual_temp[Kolonne26],actual_temp[Kolonne8],BUDGET!G$3,actual_temp[Kolonne27],BUDGET!$B49)</f>
        <v>0</v>
      </c>
      <c r="H49" s="47">
        <f>SUMIFS(actual_temp[Kolonne26],actual_temp[Kolonne8],BUDGET!H$3,actual_temp[Kolonne27],BUDGET!$B49)</f>
        <v>0</v>
      </c>
      <c r="I49" s="47">
        <f>SUMIFS(actual_temp[Kolonne26],actual_temp[Kolonne8],BUDGET!I$3,actual_temp[Kolonne27],BUDGET!$B49)</f>
        <v>0</v>
      </c>
      <c r="J49" s="47">
        <f>SUMIFS(actual_temp[Kolonne26],actual_temp[Kolonne8],BUDGET!J$3,actual_temp[Kolonne27],BUDGET!$B49)</f>
        <v>0</v>
      </c>
      <c r="K49" s="76">
        <v>0</v>
      </c>
      <c r="L49" s="76">
        <v>0</v>
      </c>
      <c r="M49" s="76">
        <v>0</v>
      </c>
      <c r="N49" s="76">
        <v>0</v>
      </c>
      <c r="O49" s="76">
        <v>0</v>
      </c>
      <c r="P49" s="76">
        <v>0</v>
      </c>
      <c r="Q49" s="40">
        <f t="shared" si="5"/>
        <v>0</v>
      </c>
    </row>
    <row r="50" spans="1:17" hidden="1" outlineLevel="1" x14ac:dyDescent="0.2">
      <c r="A50" s="45" t="s">
        <v>43</v>
      </c>
      <c r="B50" s="45">
        <v>106</v>
      </c>
      <c r="C50" s="33"/>
      <c r="D50" s="13" t="s">
        <v>77</v>
      </c>
      <c r="E50" s="47">
        <f>SUMIFS(actual_temp[Kolonne26],actual_temp[Kolonne8],BUDGET!E$3,actual_temp[Kolonne27],BUDGET!$B50)</f>
        <v>0</v>
      </c>
      <c r="F50" s="47">
        <f>SUMIFS(actual_temp[Kolonne26],actual_temp[Kolonne8],BUDGET!F$3,actual_temp[Kolonne27],BUDGET!$B50)</f>
        <v>0</v>
      </c>
      <c r="G50" s="47">
        <f>SUMIFS(actual_temp[Kolonne26],actual_temp[Kolonne8],BUDGET!G$3,actual_temp[Kolonne27],BUDGET!$B50)</f>
        <v>0</v>
      </c>
      <c r="H50" s="47">
        <f>SUMIFS(actual_temp[Kolonne26],actual_temp[Kolonne8],BUDGET!H$3,actual_temp[Kolonne27],BUDGET!$B50)</f>
        <v>0</v>
      </c>
      <c r="I50" s="47">
        <f>SUMIFS(actual_temp[Kolonne26],actual_temp[Kolonne8],BUDGET!I$3,actual_temp[Kolonne27],BUDGET!$B50)</f>
        <v>0</v>
      </c>
      <c r="J50" s="47">
        <f>SUMIFS(actual_temp[Kolonne26],actual_temp[Kolonne8],BUDGET!J$3,actual_temp[Kolonne27],BUDGET!$B50)</f>
        <v>0</v>
      </c>
      <c r="K50" s="76">
        <v>0</v>
      </c>
      <c r="L50" s="76">
        <v>0</v>
      </c>
      <c r="M50" s="76">
        <v>0</v>
      </c>
      <c r="N50" s="76">
        <v>0</v>
      </c>
      <c r="O50" s="76">
        <v>0</v>
      </c>
      <c r="P50" s="76">
        <v>0</v>
      </c>
      <c r="Q50" s="40">
        <f t="shared" si="5"/>
        <v>0</v>
      </c>
    </row>
    <row r="51" spans="1:17" hidden="1" outlineLevel="1" x14ac:dyDescent="0.2">
      <c r="A51" s="45" t="s">
        <v>43</v>
      </c>
      <c r="B51" s="45">
        <v>107</v>
      </c>
      <c r="C51" s="33"/>
      <c r="D51" s="13" t="s">
        <v>78</v>
      </c>
      <c r="E51" s="47">
        <f>SUMIFS(actual_temp[Kolonne26],actual_temp[Kolonne8],BUDGET!E$3,actual_temp[Kolonne27],BUDGET!$B51)</f>
        <v>0</v>
      </c>
      <c r="F51" s="47">
        <f>SUMIFS(actual_temp[Kolonne26],actual_temp[Kolonne8],BUDGET!F$3,actual_temp[Kolonne27],BUDGET!$B51)</f>
        <v>0</v>
      </c>
      <c r="G51" s="47">
        <f>SUMIFS(actual_temp[Kolonne26],actual_temp[Kolonne8],BUDGET!G$3,actual_temp[Kolonne27],BUDGET!$B51)</f>
        <v>0</v>
      </c>
      <c r="H51" s="47">
        <f>SUMIFS(actual_temp[Kolonne26],actual_temp[Kolonne8],BUDGET!H$3,actual_temp[Kolonne27],BUDGET!$B51)</f>
        <v>0</v>
      </c>
      <c r="I51" s="47">
        <f>SUMIFS(actual_temp[Kolonne26],actual_temp[Kolonne8],BUDGET!I$3,actual_temp[Kolonne27],BUDGET!$B51)</f>
        <v>0</v>
      </c>
      <c r="J51" s="47">
        <f>SUMIFS(actual_temp[Kolonne26],actual_temp[Kolonne8],BUDGET!J$3,actual_temp[Kolonne27],BUDGET!$B51)</f>
        <v>0</v>
      </c>
      <c r="K51" s="76">
        <v>0</v>
      </c>
      <c r="L51" s="76">
        <v>0</v>
      </c>
      <c r="M51" s="76">
        <v>0</v>
      </c>
      <c r="N51" s="76">
        <v>0</v>
      </c>
      <c r="O51" s="76">
        <v>0</v>
      </c>
      <c r="P51" s="76">
        <v>0</v>
      </c>
      <c r="Q51" s="40">
        <f t="shared" si="5"/>
        <v>0</v>
      </c>
    </row>
    <row r="52" spans="1:17" hidden="1" outlineLevel="1" x14ac:dyDescent="0.2">
      <c r="A52" s="45" t="s">
        <v>43</v>
      </c>
      <c r="B52" s="45">
        <v>108</v>
      </c>
      <c r="C52" s="33"/>
      <c r="D52" s="13"/>
      <c r="E52" s="47">
        <f>SUMIFS(actual_temp[Kolonne26],actual_temp[Kolonne8],BUDGET!E$3,actual_temp[Kolonne27],BUDGET!$B52)</f>
        <v>0</v>
      </c>
      <c r="F52" s="47">
        <f>SUMIFS(actual_temp[Kolonne26],actual_temp[Kolonne8],BUDGET!F$3,actual_temp[Kolonne27],BUDGET!$B52)</f>
        <v>0</v>
      </c>
      <c r="G52" s="47">
        <f>SUMIFS(actual_temp[Kolonne26],actual_temp[Kolonne8],BUDGET!G$3,actual_temp[Kolonne27],BUDGET!$B52)</f>
        <v>0</v>
      </c>
      <c r="H52" s="47">
        <f>SUMIFS(actual_temp[Kolonne26],actual_temp[Kolonne8],BUDGET!H$3,actual_temp[Kolonne27],BUDGET!$B52)</f>
        <v>0</v>
      </c>
      <c r="I52" s="47">
        <f>SUMIFS(actual_temp[Kolonne26],actual_temp[Kolonne8],BUDGET!I$3,actual_temp[Kolonne27],BUDGET!$B52)</f>
        <v>0</v>
      </c>
      <c r="J52" s="47">
        <f>SUMIFS(actual_temp[Kolonne26],actual_temp[Kolonne8],BUDGET!J$3,actual_temp[Kolonne27],BUDGET!$B52)</f>
        <v>0</v>
      </c>
      <c r="K52" s="76">
        <v>0</v>
      </c>
      <c r="L52" s="76">
        <v>0</v>
      </c>
      <c r="M52" s="76">
        <v>0</v>
      </c>
      <c r="N52" s="76">
        <v>0</v>
      </c>
      <c r="O52" s="76">
        <v>0</v>
      </c>
      <c r="P52" s="76">
        <v>0</v>
      </c>
      <c r="Q52" s="40">
        <f t="shared" si="5"/>
        <v>0</v>
      </c>
    </row>
    <row r="53" spans="1:17" hidden="1" outlineLevel="1" x14ac:dyDescent="0.2">
      <c r="A53" s="45" t="s">
        <v>43</v>
      </c>
      <c r="B53" s="45">
        <v>109</v>
      </c>
      <c r="C53" s="33"/>
      <c r="D53" s="13"/>
      <c r="E53" s="47">
        <f>SUMIFS(actual_temp[Kolonne26],actual_temp[Kolonne8],BUDGET!E$3,actual_temp[Kolonne27],BUDGET!$B53)</f>
        <v>0</v>
      </c>
      <c r="F53" s="47">
        <f>SUMIFS(actual_temp[Kolonne26],actual_temp[Kolonne8],BUDGET!F$3,actual_temp[Kolonne27],BUDGET!$B53)</f>
        <v>0</v>
      </c>
      <c r="G53" s="47">
        <f>SUMIFS(actual_temp[Kolonne26],actual_temp[Kolonne8],BUDGET!G$3,actual_temp[Kolonne27],BUDGET!$B53)</f>
        <v>0</v>
      </c>
      <c r="H53" s="47">
        <f>SUMIFS(actual_temp[Kolonne26],actual_temp[Kolonne8],BUDGET!H$3,actual_temp[Kolonne27],BUDGET!$B53)</f>
        <v>0</v>
      </c>
      <c r="I53" s="47">
        <f>SUMIFS(actual_temp[Kolonne26],actual_temp[Kolonne8],BUDGET!I$3,actual_temp[Kolonne27],BUDGET!$B53)</f>
        <v>0</v>
      </c>
      <c r="J53" s="47">
        <f>SUMIFS(actual_temp[Kolonne26],actual_temp[Kolonne8],BUDGET!J$3,actual_temp[Kolonne27],BUDGET!$B53)</f>
        <v>0</v>
      </c>
      <c r="K53" s="76">
        <v>0</v>
      </c>
      <c r="L53" s="76">
        <v>0</v>
      </c>
      <c r="M53" s="76">
        <v>0</v>
      </c>
      <c r="N53" s="76">
        <v>0</v>
      </c>
      <c r="O53" s="76">
        <v>0</v>
      </c>
      <c r="P53" s="76">
        <v>0</v>
      </c>
      <c r="Q53" s="40">
        <f t="shared" si="5"/>
        <v>0</v>
      </c>
    </row>
    <row r="54" spans="1:17" hidden="1" outlineLevel="1" x14ac:dyDescent="0.2">
      <c r="A54" s="45" t="s">
        <v>43</v>
      </c>
      <c r="B54" s="45">
        <v>110</v>
      </c>
      <c r="C54" s="33"/>
      <c r="D54" s="13"/>
      <c r="E54" s="47">
        <f>SUMIFS(actual_temp[Kolonne26],actual_temp[Kolonne8],BUDGET!E$3,actual_temp[Kolonne27],BUDGET!$B54)</f>
        <v>0</v>
      </c>
      <c r="F54" s="47">
        <f>SUMIFS(actual_temp[Kolonne26],actual_temp[Kolonne8],BUDGET!F$3,actual_temp[Kolonne27],BUDGET!$B54)</f>
        <v>0</v>
      </c>
      <c r="G54" s="47">
        <f>SUMIFS(actual_temp[Kolonne26],actual_temp[Kolonne8],BUDGET!G$3,actual_temp[Kolonne27],BUDGET!$B54)</f>
        <v>0</v>
      </c>
      <c r="H54" s="47">
        <f>SUMIFS(actual_temp[Kolonne26],actual_temp[Kolonne8],BUDGET!H$3,actual_temp[Kolonne27],BUDGET!$B54)</f>
        <v>0</v>
      </c>
      <c r="I54" s="47">
        <f>SUMIFS(actual_temp[Kolonne26],actual_temp[Kolonne8],BUDGET!I$3,actual_temp[Kolonne27],BUDGET!$B54)</f>
        <v>0</v>
      </c>
      <c r="J54" s="47">
        <f>SUMIFS(actual_temp[Kolonne26],actual_temp[Kolonne8],BUDGET!J$3,actual_temp[Kolonne27],BUDGET!$B54)</f>
        <v>0</v>
      </c>
      <c r="K54" s="76">
        <v>0</v>
      </c>
      <c r="L54" s="76">
        <v>0</v>
      </c>
      <c r="M54" s="76">
        <v>0</v>
      </c>
      <c r="N54" s="76">
        <v>0</v>
      </c>
      <c r="O54" s="76">
        <v>0</v>
      </c>
      <c r="P54" s="76">
        <v>0</v>
      </c>
      <c r="Q54" s="40">
        <f t="shared" si="5"/>
        <v>0</v>
      </c>
    </row>
    <row r="55" spans="1:17" hidden="1" outlineLevel="1" x14ac:dyDescent="0.2">
      <c r="A55" s="45" t="s">
        <v>43</v>
      </c>
      <c r="B55" s="45">
        <v>111</v>
      </c>
      <c r="C55" s="33"/>
      <c r="D55" s="13"/>
      <c r="E55" s="47">
        <f>SUMIFS(actual_temp[Kolonne26],actual_temp[Kolonne8],BUDGET!E$3,actual_temp[Kolonne27],BUDGET!$B55)</f>
        <v>0</v>
      </c>
      <c r="F55" s="47">
        <f>SUMIFS(actual_temp[Kolonne26],actual_temp[Kolonne8],BUDGET!F$3,actual_temp[Kolonne27],BUDGET!$B55)</f>
        <v>0</v>
      </c>
      <c r="G55" s="47">
        <f>SUMIFS(actual_temp[Kolonne26],actual_temp[Kolonne8],BUDGET!G$3,actual_temp[Kolonne27],BUDGET!$B55)</f>
        <v>0</v>
      </c>
      <c r="H55" s="47">
        <f>SUMIFS(actual_temp[Kolonne26],actual_temp[Kolonne8],BUDGET!H$3,actual_temp[Kolonne27],BUDGET!$B55)</f>
        <v>0</v>
      </c>
      <c r="I55" s="47">
        <f>SUMIFS(actual_temp[Kolonne26],actual_temp[Kolonne8],BUDGET!I$3,actual_temp[Kolonne27],BUDGET!$B55)</f>
        <v>0</v>
      </c>
      <c r="J55" s="47">
        <f>SUMIFS(actual_temp[Kolonne26],actual_temp[Kolonne8],BUDGET!J$3,actual_temp[Kolonne27],BUDGET!$B55)</f>
        <v>0</v>
      </c>
      <c r="K55" s="76">
        <v>0</v>
      </c>
      <c r="L55" s="76">
        <v>0</v>
      </c>
      <c r="M55" s="76">
        <v>0</v>
      </c>
      <c r="N55" s="76">
        <v>0</v>
      </c>
      <c r="O55" s="76">
        <v>0</v>
      </c>
      <c r="P55" s="76">
        <v>0</v>
      </c>
      <c r="Q55" s="40">
        <f>SUM(E55:P55)</f>
        <v>0</v>
      </c>
    </row>
    <row r="56" spans="1:17" hidden="1" outlineLevel="1" x14ac:dyDescent="0.2">
      <c r="A56" s="44"/>
      <c r="B56" s="44"/>
      <c r="C56" s="33"/>
      <c r="D56" s="12" t="s">
        <v>36</v>
      </c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9"/>
    </row>
    <row r="57" spans="1:17" hidden="1" outlineLevel="1" x14ac:dyDescent="0.2">
      <c r="A57" s="45" t="s">
        <v>43</v>
      </c>
      <c r="B57" s="45">
        <v>201</v>
      </c>
      <c r="C57" s="33"/>
      <c r="D57" s="13" t="s">
        <v>37</v>
      </c>
      <c r="E57" s="47">
        <f>SUMIFS(actual_temp[Kolonne26],actual_temp[Kolonne8],BUDGET!E$3,actual_temp[Kolonne27],BUDGET!$B57)</f>
        <v>0</v>
      </c>
      <c r="F57" s="47">
        <f>SUMIFS(actual_temp[Kolonne26],actual_temp[Kolonne8],BUDGET!F$3,actual_temp[Kolonne27],BUDGET!$B57)</f>
        <v>0</v>
      </c>
      <c r="G57" s="47">
        <f>SUMIFS(actual_temp[Kolonne26],actual_temp[Kolonne8],BUDGET!G$3,actual_temp[Kolonne27],BUDGET!$B57)</f>
        <v>0</v>
      </c>
      <c r="H57" s="47">
        <f>SUMIFS(actual_temp[Kolonne26],actual_temp[Kolonne8],BUDGET!H$3,actual_temp[Kolonne27],BUDGET!$B57)</f>
        <v>0</v>
      </c>
      <c r="I57" s="47">
        <f>SUMIFS(actual_temp[Kolonne26],actual_temp[Kolonne8],BUDGET!I$3,actual_temp[Kolonne27],BUDGET!$B57)</f>
        <v>0</v>
      </c>
      <c r="J57" s="47">
        <f>SUMIFS(actual_temp[Kolonne26],actual_temp[Kolonne8],BUDGET!J$3,actual_temp[Kolonne27],BUDGET!$B57)</f>
        <v>0</v>
      </c>
      <c r="K57" s="76">
        <v>0</v>
      </c>
      <c r="L57" s="76">
        <v>0</v>
      </c>
      <c r="M57" s="76">
        <v>0</v>
      </c>
      <c r="N57" s="76">
        <v>0</v>
      </c>
      <c r="O57" s="76">
        <v>0</v>
      </c>
      <c r="P57" s="76">
        <v>0</v>
      </c>
      <c r="Q57" s="40">
        <f t="shared" ref="Q57:Q68" si="6">SUM(E57:P57)</f>
        <v>0</v>
      </c>
    </row>
    <row r="58" spans="1:17" hidden="1" outlineLevel="1" x14ac:dyDescent="0.2">
      <c r="A58" s="45" t="s">
        <v>43</v>
      </c>
      <c r="B58" s="45">
        <v>202</v>
      </c>
      <c r="C58" s="33"/>
      <c r="D58" s="13" t="s">
        <v>76</v>
      </c>
      <c r="E58" s="47">
        <f>SUMIFS(actual_temp[Kolonne26],actual_temp[Kolonne8],BUDGET!E$3,actual_temp[Kolonne27],BUDGET!$B58)</f>
        <v>0</v>
      </c>
      <c r="F58" s="47">
        <f>SUMIFS(actual_temp[Kolonne26],actual_temp[Kolonne8],BUDGET!F$3,actual_temp[Kolonne27],BUDGET!$B58)</f>
        <v>0</v>
      </c>
      <c r="G58" s="47">
        <f>SUMIFS(actual_temp[Kolonne26],actual_temp[Kolonne8],BUDGET!G$3,actual_temp[Kolonne27],BUDGET!$B58)</f>
        <v>0</v>
      </c>
      <c r="H58" s="47">
        <f>SUMIFS(actual_temp[Kolonne26],actual_temp[Kolonne8],BUDGET!H$3,actual_temp[Kolonne27],BUDGET!$B58)</f>
        <v>0</v>
      </c>
      <c r="I58" s="47">
        <f>SUMIFS(actual_temp[Kolonne26],actual_temp[Kolonne8],BUDGET!I$3,actual_temp[Kolonne27],BUDGET!$B58)</f>
        <v>0</v>
      </c>
      <c r="J58" s="47">
        <f>SUMIFS(actual_temp[Kolonne26],actual_temp[Kolonne8],BUDGET!J$3,actual_temp[Kolonne27],BUDGET!$B58)</f>
        <v>0</v>
      </c>
      <c r="K58" s="76">
        <v>0</v>
      </c>
      <c r="L58" s="76">
        <v>0</v>
      </c>
      <c r="M58" s="76">
        <v>0</v>
      </c>
      <c r="N58" s="76">
        <v>0</v>
      </c>
      <c r="O58" s="76">
        <v>0</v>
      </c>
      <c r="P58" s="76">
        <v>0</v>
      </c>
      <c r="Q58" s="40">
        <f t="shared" si="6"/>
        <v>0</v>
      </c>
    </row>
    <row r="59" spans="1:17" hidden="1" outlineLevel="1" x14ac:dyDescent="0.2">
      <c r="A59" s="45" t="s">
        <v>43</v>
      </c>
      <c r="B59" s="45">
        <v>203</v>
      </c>
      <c r="C59" s="33"/>
      <c r="D59" s="13"/>
      <c r="E59" s="47">
        <f>SUMIFS(actual_temp[Kolonne26],actual_temp[Kolonne8],BUDGET!E$3,actual_temp[Kolonne27],BUDGET!$B59)</f>
        <v>0</v>
      </c>
      <c r="F59" s="47">
        <f>SUMIFS(actual_temp[Kolonne26],actual_temp[Kolonne8],BUDGET!F$3,actual_temp[Kolonne27],BUDGET!$B59)</f>
        <v>0</v>
      </c>
      <c r="G59" s="47">
        <f>SUMIFS(actual_temp[Kolonne26],actual_temp[Kolonne8],BUDGET!G$3,actual_temp[Kolonne27],BUDGET!$B59)</f>
        <v>0</v>
      </c>
      <c r="H59" s="47">
        <f>SUMIFS(actual_temp[Kolonne26],actual_temp[Kolonne8],BUDGET!H$3,actual_temp[Kolonne27],BUDGET!$B59)</f>
        <v>0</v>
      </c>
      <c r="I59" s="47">
        <f>SUMIFS(actual_temp[Kolonne26],actual_temp[Kolonne8],BUDGET!I$3,actual_temp[Kolonne27],BUDGET!$B59)</f>
        <v>0</v>
      </c>
      <c r="J59" s="47">
        <f>SUMIFS(actual_temp[Kolonne26],actual_temp[Kolonne8],BUDGET!J$3,actual_temp[Kolonne27],BUDGET!$B59)</f>
        <v>0</v>
      </c>
      <c r="K59" s="76">
        <v>0</v>
      </c>
      <c r="L59" s="76">
        <v>0</v>
      </c>
      <c r="M59" s="76">
        <v>0</v>
      </c>
      <c r="N59" s="76">
        <v>0</v>
      </c>
      <c r="O59" s="76">
        <v>0</v>
      </c>
      <c r="P59" s="76">
        <v>0</v>
      </c>
      <c r="Q59" s="40">
        <f t="shared" si="6"/>
        <v>0</v>
      </c>
    </row>
    <row r="60" spans="1:17" hidden="1" outlineLevel="1" x14ac:dyDescent="0.2">
      <c r="A60" s="45" t="s">
        <v>43</v>
      </c>
      <c r="B60" s="45">
        <v>204</v>
      </c>
      <c r="C60" s="33"/>
      <c r="D60" s="13"/>
      <c r="E60" s="47">
        <f>SUMIFS(actual_temp[Kolonne26],actual_temp[Kolonne8],BUDGET!E$3,actual_temp[Kolonne27],BUDGET!$B60)</f>
        <v>0</v>
      </c>
      <c r="F60" s="47">
        <f>SUMIFS(actual_temp[Kolonne26],actual_temp[Kolonne8],BUDGET!F$3,actual_temp[Kolonne27],BUDGET!$B60)</f>
        <v>0</v>
      </c>
      <c r="G60" s="47">
        <f>SUMIFS(actual_temp[Kolonne26],actual_temp[Kolonne8],BUDGET!G$3,actual_temp[Kolonne27],BUDGET!$B60)</f>
        <v>0</v>
      </c>
      <c r="H60" s="47">
        <f>SUMIFS(actual_temp[Kolonne26],actual_temp[Kolonne8],BUDGET!H$3,actual_temp[Kolonne27],BUDGET!$B60)</f>
        <v>0</v>
      </c>
      <c r="I60" s="47">
        <f>SUMIFS(actual_temp[Kolonne26],actual_temp[Kolonne8],BUDGET!I$3,actual_temp[Kolonne27],BUDGET!$B60)</f>
        <v>0</v>
      </c>
      <c r="J60" s="47">
        <f>SUMIFS(actual_temp[Kolonne26],actual_temp[Kolonne8],BUDGET!J$3,actual_temp[Kolonne27],BUDGET!$B60)</f>
        <v>0</v>
      </c>
      <c r="K60" s="76">
        <v>0</v>
      </c>
      <c r="L60" s="76">
        <v>0</v>
      </c>
      <c r="M60" s="76">
        <v>0</v>
      </c>
      <c r="N60" s="76">
        <v>0</v>
      </c>
      <c r="O60" s="76">
        <v>0</v>
      </c>
      <c r="P60" s="76">
        <v>0</v>
      </c>
      <c r="Q60" s="40">
        <f t="shared" si="6"/>
        <v>0</v>
      </c>
    </row>
    <row r="61" spans="1:17" hidden="1" outlineLevel="1" x14ac:dyDescent="0.2">
      <c r="A61" s="45" t="s">
        <v>43</v>
      </c>
      <c r="B61" s="45">
        <v>205</v>
      </c>
      <c r="C61" s="33"/>
      <c r="D61" s="13" t="s">
        <v>38</v>
      </c>
      <c r="E61" s="47">
        <f>SUMIFS(actual_temp[Kolonne26],actual_temp[Kolonne8],BUDGET!E$3,actual_temp[Kolonne27],BUDGET!$B61)</f>
        <v>0</v>
      </c>
      <c r="F61" s="47">
        <f>SUMIFS(actual_temp[Kolonne26],actual_temp[Kolonne8],BUDGET!F$3,actual_temp[Kolonne27],BUDGET!$B61)</f>
        <v>0</v>
      </c>
      <c r="G61" s="47">
        <f>SUMIFS(actual_temp[Kolonne26],actual_temp[Kolonne8],BUDGET!G$3,actual_temp[Kolonne27],BUDGET!$B61)</f>
        <v>0</v>
      </c>
      <c r="H61" s="47">
        <f>SUMIFS(actual_temp[Kolonne26],actual_temp[Kolonne8],BUDGET!H$3,actual_temp[Kolonne27],BUDGET!$B61)</f>
        <v>0</v>
      </c>
      <c r="I61" s="47">
        <f>SUMIFS(actual_temp[Kolonne26],actual_temp[Kolonne8],BUDGET!I$3,actual_temp[Kolonne27],BUDGET!$B61)</f>
        <v>0</v>
      </c>
      <c r="J61" s="47">
        <f>SUMIFS(actual_temp[Kolonne26],actual_temp[Kolonne8],BUDGET!J$3,actual_temp[Kolonne27],BUDGET!$B61)</f>
        <v>0</v>
      </c>
      <c r="K61" s="76">
        <v>0</v>
      </c>
      <c r="L61" s="76">
        <v>0</v>
      </c>
      <c r="M61" s="76">
        <v>0</v>
      </c>
      <c r="N61" s="76">
        <v>0</v>
      </c>
      <c r="O61" s="76">
        <v>0</v>
      </c>
      <c r="P61" s="76">
        <v>0</v>
      </c>
      <c r="Q61" s="40">
        <f t="shared" si="6"/>
        <v>0</v>
      </c>
    </row>
    <row r="62" spans="1:17" hidden="1" outlineLevel="1" x14ac:dyDescent="0.2">
      <c r="A62" s="45" t="s">
        <v>43</v>
      </c>
      <c r="B62" s="45">
        <v>206</v>
      </c>
      <c r="C62" s="33"/>
      <c r="D62" s="13" t="s">
        <v>39</v>
      </c>
      <c r="E62" s="47">
        <f>SUMIFS(actual_temp[Kolonne26],actual_temp[Kolonne8],BUDGET!E$3,actual_temp[Kolonne27],BUDGET!$B62)</f>
        <v>0</v>
      </c>
      <c r="F62" s="47">
        <f>SUMIFS(actual_temp[Kolonne26],actual_temp[Kolonne8],BUDGET!F$3,actual_temp[Kolonne27],BUDGET!$B62)</f>
        <v>0</v>
      </c>
      <c r="G62" s="47">
        <f>SUMIFS(actual_temp[Kolonne26],actual_temp[Kolonne8],BUDGET!G$3,actual_temp[Kolonne27],BUDGET!$B62)</f>
        <v>0</v>
      </c>
      <c r="H62" s="47">
        <f>SUMIFS(actual_temp[Kolonne26],actual_temp[Kolonne8],BUDGET!H$3,actual_temp[Kolonne27],BUDGET!$B62)</f>
        <v>0</v>
      </c>
      <c r="I62" s="47">
        <f>SUMIFS(actual_temp[Kolonne26],actual_temp[Kolonne8],BUDGET!I$3,actual_temp[Kolonne27],BUDGET!$B62)</f>
        <v>0</v>
      </c>
      <c r="J62" s="47">
        <f>SUMIFS(actual_temp[Kolonne26],actual_temp[Kolonne8],BUDGET!J$3,actual_temp[Kolonne27],BUDGET!$B62)</f>
        <v>0</v>
      </c>
      <c r="K62" s="76">
        <v>0</v>
      </c>
      <c r="L62" s="76">
        <v>0</v>
      </c>
      <c r="M62" s="76">
        <v>0</v>
      </c>
      <c r="N62" s="76">
        <v>0</v>
      </c>
      <c r="O62" s="76">
        <v>0</v>
      </c>
      <c r="P62" s="76">
        <v>0</v>
      </c>
      <c r="Q62" s="40">
        <f t="shared" si="6"/>
        <v>0</v>
      </c>
    </row>
    <row r="63" spans="1:17" hidden="1" outlineLevel="1" x14ac:dyDescent="0.2">
      <c r="A63" s="45" t="s">
        <v>43</v>
      </c>
      <c r="B63" s="45">
        <v>207</v>
      </c>
      <c r="C63" s="33"/>
      <c r="D63" s="13"/>
      <c r="E63" s="47">
        <f>SUMIFS(actual_temp[Kolonne26],actual_temp[Kolonne8],BUDGET!E$3,actual_temp[Kolonne27],BUDGET!$B63)</f>
        <v>0</v>
      </c>
      <c r="F63" s="47">
        <f>SUMIFS(actual_temp[Kolonne26],actual_temp[Kolonne8],BUDGET!F$3,actual_temp[Kolonne27],BUDGET!$B63)</f>
        <v>0</v>
      </c>
      <c r="G63" s="47">
        <f>SUMIFS(actual_temp[Kolonne26],actual_temp[Kolonne8],BUDGET!G$3,actual_temp[Kolonne27],BUDGET!$B63)</f>
        <v>0</v>
      </c>
      <c r="H63" s="47">
        <f>SUMIFS(actual_temp[Kolonne26],actual_temp[Kolonne8],BUDGET!H$3,actual_temp[Kolonne27],BUDGET!$B63)</f>
        <v>0</v>
      </c>
      <c r="I63" s="47">
        <f>SUMIFS(actual_temp[Kolonne26],actual_temp[Kolonne8],BUDGET!I$3,actual_temp[Kolonne27],BUDGET!$B63)</f>
        <v>0</v>
      </c>
      <c r="J63" s="47">
        <f>SUMIFS(actual_temp[Kolonne26],actual_temp[Kolonne8],BUDGET!J$3,actual_temp[Kolonne27],BUDGET!$B63)</f>
        <v>0</v>
      </c>
      <c r="K63" s="76">
        <v>0</v>
      </c>
      <c r="L63" s="76">
        <v>0</v>
      </c>
      <c r="M63" s="76">
        <v>0</v>
      </c>
      <c r="N63" s="76">
        <v>0</v>
      </c>
      <c r="O63" s="76">
        <v>0</v>
      </c>
      <c r="P63" s="76">
        <v>0</v>
      </c>
      <c r="Q63" s="40">
        <f t="shared" si="6"/>
        <v>0</v>
      </c>
    </row>
    <row r="64" spans="1:17" hidden="1" outlineLevel="1" x14ac:dyDescent="0.2">
      <c r="A64" s="45" t="s">
        <v>43</v>
      </c>
      <c r="B64" s="45">
        <v>208</v>
      </c>
      <c r="C64" s="33"/>
      <c r="D64" s="13"/>
      <c r="E64" s="47">
        <f>SUMIFS(actual_temp[Kolonne26],actual_temp[Kolonne8],BUDGET!E$3,actual_temp[Kolonne27],BUDGET!$B64)</f>
        <v>0</v>
      </c>
      <c r="F64" s="47">
        <f>SUMIFS(actual_temp[Kolonne26],actual_temp[Kolonne8],BUDGET!F$3,actual_temp[Kolonne27],BUDGET!$B64)</f>
        <v>0</v>
      </c>
      <c r="G64" s="47">
        <f>SUMIFS(actual_temp[Kolonne26],actual_temp[Kolonne8],BUDGET!G$3,actual_temp[Kolonne27],BUDGET!$B64)</f>
        <v>0</v>
      </c>
      <c r="H64" s="47">
        <f>SUMIFS(actual_temp[Kolonne26],actual_temp[Kolonne8],BUDGET!H$3,actual_temp[Kolonne27],BUDGET!$B64)</f>
        <v>0</v>
      </c>
      <c r="I64" s="47">
        <f>SUMIFS(actual_temp[Kolonne26],actual_temp[Kolonne8],BUDGET!I$3,actual_temp[Kolonne27],BUDGET!$B64)</f>
        <v>0</v>
      </c>
      <c r="J64" s="47">
        <f>SUMIFS(actual_temp[Kolonne26],actual_temp[Kolonne8],BUDGET!J$3,actual_temp[Kolonne27],BUDGET!$B64)</f>
        <v>0</v>
      </c>
      <c r="K64" s="76">
        <v>0</v>
      </c>
      <c r="L64" s="76">
        <v>0</v>
      </c>
      <c r="M64" s="76">
        <v>0</v>
      </c>
      <c r="N64" s="76">
        <v>0</v>
      </c>
      <c r="O64" s="76">
        <v>0</v>
      </c>
      <c r="P64" s="76">
        <v>0</v>
      </c>
      <c r="Q64" s="40">
        <f t="shared" si="6"/>
        <v>0</v>
      </c>
    </row>
    <row r="65" spans="1:19" hidden="1" outlineLevel="1" x14ac:dyDescent="0.2">
      <c r="A65" s="45" t="s">
        <v>43</v>
      </c>
      <c r="B65" s="45">
        <v>209</v>
      </c>
      <c r="C65" s="33"/>
      <c r="D65" s="13"/>
      <c r="E65" s="47">
        <f>SUMIFS(actual_temp[Kolonne26],actual_temp[Kolonne8],BUDGET!E$3,actual_temp[Kolonne27],BUDGET!$B65)</f>
        <v>0</v>
      </c>
      <c r="F65" s="47">
        <f>SUMIFS(actual_temp[Kolonne26],actual_temp[Kolonne8],BUDGET!F$3,actual_temp[Kolonne27],BUDGET!$B65)</f>
        <v>0</v>
      </c>
      <c r="G65" s="47">
        <f>SUMIFS(actual_temp[Kolonne26],actual_temp[Kolonne8],BUDGET!G$3,actual_temp[Kolonne27],BUDGET!$B65)</f>
        <v>0</v>
      </c>
      <c r="H65" s="47">
        <f>SUMIFS(actual_temp[Kolonne26],actual_temp[Kolonne8],BUDGET!H$3,actual_temp[Kolonne27],BUDGET!$B65)</f>
        <v>0</v>
      </c>
      <c r="I65" s="47">
        <f>SUMIFS(actual_temp[Kolonne26],actual_temp[Kolonne8],BUDGET!I$3,actual_temp[Kolonne27],BUDGET!$B65)</f>
        <v>0</v>
      </c>
      <c r="J65" s="47">
        <f>SUMIFS(actual_temp[Kolonne26],actual_temp[Kolonne8],BUDGET!J$3,actual_temp[Kolonne27],BUDGET!$B65)</f>
        <v>0</v>
      </c>
      <c r="K65" s="76">
        <v>0</v>
      </c>
      <c r="L65" s="76">
        <v>0</v>
      </c>
      <c r="M65" s="76">
        <v>0</v>
      </c>
      <c r="N65" s="76">
        <v>0</v>
      </c>
      <c r="O65" s="76">
        <v>0</v>
      </c>
      <c r="P65" s="76">
        <v>0</v>
      </c>
      <c r="Q65" s="40">
        <f t="shared" si="6"/>
        <v>0</v>
      </c>
    </row>
    <row r="66" spans="1:19" hidden="1" outlineLevel="1" x14ac:dyDescent="0.2">
      <c r="A66" s="45" t="s">
        <v>43</v>
      </c>
      <c r="B66" s="45">
        <v>210</v>
      </c>
      <c r="C66" s="33"/>
      <c r="D66" s="13"/>
      <c r="E66" s="47">
        <f>SUMIFS(actual_temp[Kolonne26],actual_temp[Kolonne8],BUDGET!E$3,actual_temp[Kolonne27],BUDGET!$B66)</f>
        <v>0</v>
      </c>
      <c r="F66" s="47">
        <f>SUMIFS(actual_temp[Kolonne26],actual_temp[Kolonne8],BUDGET!F$3,actual_temp[Kolonne27],BUDGET!$B66)</f>
        <v>0</v>
      </c>
      <c r="G66" s="47">
        <f>SUMIFS(actual_temp[Kolonne26],actual_temp[Kolonne8],BUDGET!G$3,actual_temp[Kolonne27],BUDGET!$B66)</f>
        <v>0</v>
      </c>
      <c r="H66" s="47">
        <f>SUMIFS(actual_temp[Kolonne26],actual_temp[Kolonne8],BUDGET!H$3,actual_temp[Kolonne27],BUDGET!$B66)</f>
        <v>0</v>
      </c>
      <c r="I66" s="47">
        <f>SUMIFS(actual_temp[Kolonne26],actual_temp[Kolonne8],BUDGET!I$3,actual_temp[Kolonne27],BUDGET!$B66)</f>
        <v>0</v>
      </c>
      <c r="J66" s="47">
        <f>SUMIFS(actual_temp[Kolonne26],actual_temp[Kolonne8],BUDGET!J$3,actual_temp[Kolonne27],BUDGET!$B66)</f>
        <v>0</v>
      </c>
      <c r="K66" s="76">
        <v>0</v>
      </c>
      <c r="L66" s="76">
        <v>0</v>
      </c>
      <c r="M66" s="76">
        <v>0</v>
      </c>
      <c r="N66" s="76">
        <v>0</v>
      </c>
      <c r="O66" s="76">
        <v>0</v>
      </c>
      <c r="P66" s="76">
        <v>0</v>
      </c>
      <c r="Q66" s="40">
        <f t="shared" si="6"/>
        <v>0</v>
      </c>
    </row>
    <row r="67" spans="1:19" hidden="1" outlineLevel="1" x14ac:dyDescent="0.2">
      <c r="A67" s="45" t="s">
        <v>43</v>
      </c>
      <c r="B67" s="45">
        <v>211</v>
      </c>
      <c r="C67" s="33"/>
      <c r="D67" s="13"/>
      <c r="E67" s="47">
        <f>SUMIFS(actual_temp[Kolonne26],actual_temp[Kolonne8],BUDGET!E$3,actual_temp[Kolonne27],BUDGET!$B67)</f>
        <v>0</v>
      </c>
      <c r="F67" s="47">
        <f>SUMIFS(actual_temp[Kolonne26],actual_temp[Kolonne8],BUDGET!F$3,actual_temp[Kolonne27],BUDGET!$B67)</f>
        <v>0</v>
      </c>
      <c r="G67" s="47">
        <f>SUMIFS(actual_temp[Kolonne26],actual_temp[Kolonne8],BUDGET!G$3,actual_temp[Kolonne27],BUDGET!$B67)</f>
        <v>0</v>
      </c>
      <c r="H67" s="47">
        <f>SUMIFS(actual_temp[Kolonne26],actual_temp[Kolonne8],BUDGET!H$3,actual_temp[Kolonne27],BUDGET!$B67)</f>
        <v>0</v>
      </c>
      <c r="I67" s="47">
        <f>SUMIFS(actual_temp[Kolonne26],actual_temp[Kolonne8],BUDGET!I$3,actual_temp[Kolonne27],BUDGET!$B67)</f>
        <v>0</v>
      </c>
      <c r="J67" s="47">
        <f>SUMIFS(actual_temp[Kolonne26],actual_temp[Kolonne8],BUDGET!J$3,actual_temp[Kolonne27],BUDGET!$B67)</f>
        <v>0</v>
      </c>
      <c r="K67" s="76">
        <v>0</v>
      </c>
      <c r="L67" s="76">
        <v>0</v>
      </c>
      <c r="M67" s="76">
        <v>0</v>
      </c>
      <c r="N67" s="76">
        <v>0</v>
      </c>
      <c r="O67" s="76">
        <v>0</v>
      </c>
      <c r="P67" s="76">
        <v>0</v>
      </c>
      <c r="Q67" s="40">
        <f t="shared" si="6"/>
        <v>0</v>
      </c>
    </row>
    <row r="68" spans="1:19" hidden="1" outlineLevel="1" x14ac:dyDescent="0.2">
      <c r="A68" s="45" t="s">
        <v>43</v>
      </c>
      <c r="B68" s="45">
        <v>212</v>
      </c>
      <c r="C68" s="33"/>
      <c r="D68" s="13"/>
      <c r="E68" s="47">
        <f>SUMIFS(actual_temp[Kolonne26],actual_temp[Kolonne8],BUDGET!E$3,actual_temp[Kolonne27],BUDGET!$B68)</f>
        <v>0</v>
      </c>
      <c r="F68" s="47">
        <f>SUMIFS(actual_temp[Kolonne26],actual_temp[Kolonne8],BUDGET!F$3,actual_temp[Kolonne27],BUDGET!$B68)</f>
        <v>0</v>
      </c>
      <c r="G68" s="47">
        <f>SUMIFS(actual_temp[Kolonne26],actual_temp[Kolonne8],BUDGET!G$3,actual_temp[Kolonne27],BUDGET!$B68)</f>
        <v>0</v>
      </c>
      <c r="H68" s="47">
        <f>SUMIFS(actual_temp[Kolonne26],actual_temp[Kolonne8],BUDGET!H$3,actual_temp[Kolonne27],BUDGET!$B68)</f>
        <v>0</v>
      </c>
      <c r="I68" s="47">
        <f>SUMIFS(actual_temp[Kolonne26],actual_temp[Kolonne8],BUDGET!I$3,actual_temp[Kolonne27],BUDGET!$B68)</f>
        <v>0</v>
      </c>
      <c r="J68" s="47">
        <f>SUMIFS(actual_temp[Kolonne26],actual_temp[Kolonne8],BUDGET!J$3,actual_temp[Kolonne27],BUDGET!$B68)</f>
        <v>0</v>
      </c>
      <c r="K68" s="76">
        <v>0</v>
      </c>
      <c r="L68" s="76">
        <v>0</v>
      </c>
      <c r="M68" s="76">
        <v>0</v>
      </c>
      <c r="N68" s="76">
        <v>0</v>
      </c>
      <c r="O68" s="76">
        <v>0</v>
      </c>
      <c r="P68" s="76">
        <v>0</v>
      </c>
      <c r="Q68" s="40">
        <f t="shared" si="6"/>
        <v>0</v>
      </c>
    </row>
    <row r="69" spans="1:19" hidden="1" outlineLevel="1" x14ac:dyDescent="0.2">
      <c r="A69" s="45" t="s">
        <v>43</v>
      </c>
      <c r="B69" s="45">
        <v>213</v>
      </c>
      <c r="C69" s="33"/>
      <c r="D69" s="13"/>
      <c r="E69" s="47">
        <f>SUMIFS(actual_temp[Kolonne26],actual_temp[Kolonne8],BUDGET!E$3,actual_temp[Kolonne27],BUDGET!$B69)</f>
        <v>0</v>
      </c>
      <c r="F69" s="47">
        <f>SUMIFS(actual_temp[Kolonne26],actual_temp[Kolonne8],BUDGET!F$3,actual_temp[Kolonne27],BUDGET!$B69)</f>
        <v>0</v>
      </c>
      <c r="G69" s="47">
        <f>SUMIFS(actual_temp[Kolonne26],actual_temp[Kolonne8],BUDGET!G$3,actual_temp[Kolonne27],BUDGET!$B69)</f>
        <v>0</v>
      </c>
      <c r="H69" s="47">
        <f>SUMIFS(actual_temp[Kolonne26],actual_temp[Kolonne8],BUDGET!H$3,actual_temp[Kolonne27],BUDGET!$B69)</f>
        <v>0</v>
      </c>
      <c r="I69" s="47">
        <f>SUMIFS(actual_temp[Kolonne26],actual_temp[Kolonne8],BUDGET!I$3,actual_temp[Kolonne27],BUDGET!$B69)</f>
        <v>0</v>
      </c>
      <c r="J69" s="47">
        <f>SUMIFS(actual_temp[Kolonne26],actual_temp[Kolonne8],BUDGET!J$3,actual_temp[Kolonne27],BUDGET!$B69)</f>
        <v>0</v>
      </c>
      <c r="K69" s="76">
        <v>0</v>
      </c>
      <c r="L69" s="76">
        <v>0</v>
      </c>
      <c r="M69" s="76">
        <v>0</v>
      </c>
      <c r="N69" s="76">
        <v>0</v>
      </c>
      <c r="O69" s="76">
        <v>0</v>
      </c>
      <c r="P69" s="76">
        <v>0</v>
      </c>
      <c r="Q69" s="40">
        <f>SUM(E69:P69)</f>
        <v>0</v>
      </c>
    </row>
    <row r="70" spans="1:19" hidden="1" outlineLevel="1" x14ac:dyDescent="0.2">
      <c r="A70" s="46" t="s">
        <v>44</v>
      </c>
      <c r="B70" s="46" t="s">
        <v>49</v>
      </c>
      <c r="C70" s="33"/>
      <c r="D70" s="15" t="s">
        <v>20</v>
      </c>
      <c r="E70" s="40">
        <f t="shared" ref="E70:J70" si="7">SUM(E44:E69)</f>
        <v>0</v>
      </c>
      <c r="F70" s="40">
        <f t="shared" si="7"/>
        <v>0</v>
      </c>
      <c r="G70" s="40">
        <f t="shared" si="7"/>
        <v>0</v>
      </c>
      <c r="H70" s="40">
        <f t="shared" si="7"/>
        <v>0</v>
      </c>
      <c r="I70" s="40">
        <f t="shared" si="7"/>
        <v>0</v>
      </c>
      <c r="J70" s="40">
        <f t="shared" si="7"/>
        <v>0</v>
      </c>
      <c r="K70" s="40">
        <f t="shared" ref="K70:P70" si="8">SUM(K45:K69)</f>
        <v>0</v>
      </c>
      <c r="L70" s="40">
        <f t="shared" si="8"/>
        <v>0</v>
      </c>
      <c r="M70" s="40">
        <f t="shared" si="8"/>
        <v>0</v>
      </c>
      <c r="N70" s="40">
        <f t="shared" si="8"/>
        <v>0</v>
      </c>
      <c r="O70" s="40">
        <f t="shared" si="8"/>
        <v>0</v>
      </c>
      <c r="P70" s="40">
        <f t="shared" si="8"/>
        <v>0</v>
      </c>
      <c r="Q70" s="40">
        <f>SUM(E70:P70)</f>
        <v>0</v>
      </c>
    </row>
    <row r="71" spans="1:19" hidden="1" outlineLevel="1" x14ac:dyDescent="0.2">
      <c r="A71" s="41" t="s">
        <v>69</v>
      </c>
      <c r="B71" s="42"/>
      <c r="C71"/>
      <c r="D71" s="43" t="s">
        <v>72</v>
      </c>
      <c r="E71" s="43">
        <f>SUMIF(actual_temp[Kolonne8],E3,actual_temp[Kolonne26])</f>
        <v>0</v>
      </c>
      <c r="F71" s="43">
        <f>SUMIF(actual_temp[Kolonne8],F3,actual_temp[Kolonne26])</f>
        <v>0</v>
      </c>
      <c r="G71" s="43">
        <f>SUMIF(actual_temp[Kolonne8],G3,actual_temp[Kolonne26])</f>
        <v>0</v>
      </c>
      <c r="H71" s="43">
        <f>SUMIF(actual_temp[Kolonne8],H3,actual_temp[Kolonne26])</f>
        <v>0</v>
      </c>
      <c r="I71" s="43">
        <f>SUMIF(actual_temp[Kolonne8],I3,actual_temp[Kolonne26])</f>
        <v>0</v>
      </c>
      <c r="J71" s="43">
        <f>SUMIF(actual_temp[Kolonne8],J3,actual_temp[Kolonne26])</f>
        <v>0</v>
      </c>
      <c r="K71" s="43"/>
      <c r="L71" s="43"/>
      <c r="M71" s="43"/>
      <c r="N71" s="43"/>
      <c r="O71" s="43"/>
      <c r="P71" s="43"/>
      <c r="Q71" s="43"/>
    </row>
    <row r="72" spans="1:19" hidden="1" outlineLevel="1" x14ac:dyDescent="0.2">
      <c r="A72" s="41" t="s">
        <v>69</v>
      </c>
      <c r="B72" s="42"/>
      <c r="C72"/>
      <c r="D72" s="43" t="s">
        <v>70</v>
      </c>
      <c r="E72" s="43">
        <f t="shared" ref="E72:J72" si="9">+E71-E70</f>
        <v>0</v>
      </c>
      <c r="F72" s="43">
        <f t="shared" si="9"/>
        <v>0</v>
      </c>
      <c r="G72" s="43">
        <f t="shared" si="9"/>
        <v>0</v>
      </c>
      <c r="H72" s="43">
        <f t="shared" si="9"/>
        <v>0</v>
      </c>
      <c r="I72" s="43">
        <f t="shared" si="9"/>
        <v>0</v>
      </c>
      <c r="J72" s="43">
        <f t="shared" si="9"/>
        <v>0</v>
      </c>
      <c r="K72" s="43"/>
      <c r="L72" s="43"/>
      <c r="M72" s="43"/>
      <c r="N72" s="43"/>
      <c r="O72" s="43"/>
      <c r="P72" s="43"/>
      <c r="Q72" s="43"/>
    </row>
    <row r="73" spans="1:19" hidden="1" outlineLevel="1" x14ac:dyDescent="0.2"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7" t="s">
        <v>26</v>
      </c>
      <c r="Q73" s="18">
        <f>Q70-Q107</f>
        <v>0</v>
      </c>
      <c r="R73" s="19"/>
      <c r="S73" s="20"/>
    </row>
    <row r="74" spans="1:19" hidden="1" outlineLevel="1" x14ac:dyDescent="0.2">
      <c r="D74" s="22"/>
      <c r="I74" s="23"/>
      <c r="P74" s="101" t="s">
        <v>16</v>
      </c>
      <c r="Q74" s="101"/>
    </row>
    <row r="75" spans="1:19" hidden="1" outlineLevel="1" x14ac:dyDescent="0.2">
      <c r="I75" s="23"/>
      <c r="P75" s="103" t="s">
        <v>23</v>
      </c>
      <c r="Q75" s="101"/>
    </row>
    <row r="76" spans="1:19" hidden="1" outlineLevel="1" x14ac:dyDescent="0.2">
      <c r="I76" s="23"/>
      <c r="P76" s="21" t="s">
        <v>18</v>
      </c>
      <c r="Q76" s="21" t="s">
        <v>19</v>
      </c>
    </row>
    <row r="77" spans="1:19" hidden="1" outlineLevel="1" x14ac:dyDescent="0.2">
      <c r="I77" s="23"/>
      <c r="P77" s="19">
        <f>H70+I70+J70-H107-I107-J107</f>
        <v>0</v>
      </c>
      <c r="Q77" s="20" t="e">
        <f>P77/(H107+I107+J107)</f>
        <v>#DIV/0!</v>
      </c>
    </row>
    <row r="78" spans="1:19" x14ac:dyDescent="0.2">
      <c r="I78" s="23"/>
      <c r="P78" s="19"/>
      <c r="Q78" s="20"/>
    </row>
    <row r="79" spans="1:19" outlineLevel="1" x14ac:dyDescent="0.2">
      <c r="D79" s="9"/>
      <c r="E79" s="99" t="s">
        <v>24</v>
      </c>
      <c r="F79" s="100"/>
      <c r="G79" s="100"/>
    </row>
    <row r="80" spans="1:19" outlineLevel="1" x14ac:dyDescent="0.2">
      <c r="A80" s="36" t="s">
        <v>41</v>
      </c>
      <c r="B80" s="36" t="s">
        <v>42</v>
      </c>
      <c r="C80" s="33"/>
      <c r="D80" s="67" t="s">
        <v>25</v>
      </c>
      <c r="E80" s="36" t="s">
        <v>1</v>
      </c>
      <c r="F80" s="36" t="s">
        <v>2</v>
      </c>
      <c r="G80" s="36" t="s">
        <v>3</v>
      </c>
      <c r="H80" s="36" t="s">
        <v>4</v>
      </c>
      <c r="I80" s="36" t="s">
        <v>5</v>
      </c>
      <c r="J80" s="36" t="s">
        <v>6</v>
      </c>
      <c r="K80" s="36" t="s">
        <v>7</v>
      </c>
      <c r="L80" s="36" t="s">
        <v>8</v>
      </c>
      <c r="M80" s="36" t="s">
        <v>9</v>
      </c>
      <c r="N80" s="36" t="s">
        <v>10</v>
      </c>
      <c r="O80" s="36" t="s">
        <v>11</v>
      </c>
      <c r="P80" s="36" t="s">
        <v>12</v>
      </c>
      <c r="Q80" s="36" t="s">
        <v>0</v>
      </c>
    </row>
    <row r="81" spans="1:17" outlineLevel="1" x14ac:dyDescent="0.2">
      <c r="A81" s="44"/>
      <c r="B81" s="44"/>
      <c r="C81" s="33"/>
      <c r="D81" s="12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9"/>
    </row>
    <row r="82" spans="1:17" hidden="1" outlineLevel="1" x14ac:dyDescent="0.2">
      <c r="A82" s="45" t="s">
        <v>43</v>
      </c>
      <c r="B82" s="45">
        <v>101</v>
      </c>
      <c r="C82" s="33"/>
      <c r="D82" s="13"/>
      <c r="E82" s="47">
        <f>SUMIFS(actual_temp[Kolonne26],actual_temp[Kolonne8],BUDGET!E$3,actual_temp[Kolonne27],BUDGET!$B82)</f>
        <v>0</v>
      </c>
      <c r="F82" s="47">
        <f>SUMIFS(actual_temp[Kolonne26],actual_temp[Kolonne8],BUDGET!F$3,actual_temp[Kolonne27],BUDGET!$B82)</f>
        <v>0</v>
      </c>
      <c r="G82" s="47">
        <f>SUMIFS(actual_temp[Kolonne26],actual_temp[Kolonne8],BUDGET!G$3,actual_temp[Kolonne27],BUDGET!$B82)</f>
        <v>0</v>
      </c>
      <c r="H82" s="75"/>
      <c r="I82" s="75"/>
      <c r="J82" s="75"/>
      <c r="K82" s="75"/>
      <c r="L82" s="75"/>
      <c r="M82" s="75"/>
      <c r="N82" s="75"/>
      <c r="O82" s="75"/>
      <c r="P82" s="75"/>
      <c r="Q82" s="40">
        <f t="shared" ref="Q82:Q91" si="10">SUM(E82:P82)</f>
        <v>0</v>
      </c>
    </row>
    <row r="83" spans="1:17" hidden="1" outlineLevel="1" x14ac:dyDescent="0.2">
      <c r="A83" s="45" t="s">
        <v>43</v>
      </c>
      <c r="B83" s="45">
        <v>102</v>
      </c>
      <c r="C83" s="33"/>
      <c r="D83" s="13"/>
      <c r="E83" s="47">
        <f>SUMIFS(actual_temp[Kolonne26],actual_temp[Kolonne8],BUDGET!E$3,actual_temp[Kolonne27],BUDGET!$B83)</f>
        <v>0</v>
      </c>
      <c r="F83" s="47">
        <f>SUMIFS(actual_temp[Kolonne26],actual_temp[Kolonne8],BUDGET!F$3,actual_temp[Kolonne27],BUDGET!$B83)</f>
        <v>0</v>
      </c>
      <c r="G83" s="47">
        <f>SUMIFS(actual_temp[Kolonne26],actual_temp[Kolonne8],BUDGET!G$3,actual_temp[Kolonne27],BUDGET!$B83)</f>
        <v>0</v>
      </c>
      <c r="H83" s="75"/>
      <c r="I83" s="75"/>
      <c r="J83" s="75"/>
      <c r="K83" s="75"/>
      <c r="L83" s="75"/>
      <c r="M83" s="75"/>
      <c r="N83" s="75"/>
      <c r="O83" s="75"/>
      <c r="P83" s="75"/>
      <c r="Q83" s="40">
        <f t="shared" si="10"/>
        <v>0</v>
      </c>
    </row>
    <row r="84" spans="1:17" hidden="1" outlineLevel="1" x14ac:dyDescent="0.2">
      <c r="A84" s="45" t="s">
        <v>43</v>
      </c>
      <c r="B84" s="45">
        <v>103</v>
      </c>
      <c r="C84" s="33"/>
      <c r="D84" s="13"/>
      <c r="E84" s="47">
        <f>SUMIFS(actual_temp[Kolonne26],actual_temp[Kolonne8],BUDGET!E$3,actual_temp[Kolonne27],BUDGET!$B84)</f>
        <v>0</v>
      </c>
      <c r="F84" s="47">
        <f>SUMIFS(actual_temp[Kolonne26],actual_temp[Kolonne8],BUDGET!F$3,actual_temp[Kolonne27],BUDGET!$B84)</f>
        <v>0</v>
      </c>
      <c r="G84" s="47">
        <f>SUMIFS(actual_temp[Kolonne26],actual_temp[Kolonne8],BUDGET!G$3,actual_temp[Kolonne27],BUDGET!$B84)</f>
        <v>0</v>
      </c>
      <c r="H84" s="75"/>
      <c r="I84" s="75"/>
      <c r="J84" s="75"/>
      <c r="K84" s="75"/>
      <c r="L84" s="75"/>
      <c r="M84" s="75"/>
      <c r="N84" s="75"/>
      <c r="O84" s="75"/>
      <c r="P84" s="75"/>
      <c r="Q84" s="40">
        <f t="shared" si="10"/>
        <v>0</v>
      </c>
    </row>
    <row r="85" spans="1:17" hidden="1" outlineLevel="1" x14ac:dyDescent="0.2">
      <c r="A85" s="45" t="s">
        <v>43</v>
      </c>
      <c r="B85" s="45">
        <v>104</v>
      </c>
      <c r="C85" s="33"/>
      <c r="D85" s="13"/>
      <c r="E85" s="47">
        <f>SUMIFS(actual_temp[Kolonne26],actual_temp[Kolonne8],BUDGET!E$3,actual_temp[Kolonne27],BUDGET!$B85)</f>
        <v>0</v>
      </c>
      <c r="F85" s="47">
        <f>SUMIFS(actual_temp[Kolonne26],actual_temp[Kolonne8],BUDGET!F$3,actual_temp[Kolonne27],BUDGET!$B85)</f>
        <v>0</v>
      </c>
      <c r="G85" s="47">
        <f>SUMIFS(actual_temp[Kolonne26],actual_temp[Kolonne8],BUDGET!G$3,actual_temp[Kolonne27],BUDGET!$B85)</f>
        <v>0</v>
      </c>
      <c r="H85" s="75"/>
      <c r="I85" s="75"/>
      <c r="J85" s="75"/>
      <c r="K85" s="75"/>
      <c r="L85" s="75"/>
      <c r="M85" s="75"/>
      <c r="N85" s="75"/>
      <c r="O85" s="75"/>
      <c r="P85" s="75"/>
      <c r="Q85" s="40">
        <f t="shared" si="10"/>
        <v>0</v>
      </c>
    </row>
    <row r="86" spans="1:17" hidden="1" outlineLevel="1" x14ac:dyDescent="0.2">
      <c r="A86" s="45" t="s">
        <v>43</v>
      </c>
      <c r="B86" s="45">
        <v>105</v>
      </c>
      <c r="C86" s="33"/>
      <c r="D86" s="13"/>
      <c r="E86" s="47">
        <f>SUMIFS(actual_temp[Kolonne26],actual_temp[Kolonne8],BUDGET!E$3,actual_temp[Kolonne27],BUDGET!$B86)</f>
        <v>0</v>
      </c>
      <c r="F86" s="47">
        <f>SUMIFS(actual_temp[Kolonne26],actual_temp[Kolonne8],BUDGET!F$3,actual_temp[Kolonne27],BUDGET!$B86)</f>
        <v>0</v>
      </c>
      <c r="G86" s="47">
        <f>SUMIFS(actual_temp[Kolonne26],actual_temp[Kolonne8],BUDGET!G$3,actual_temp[Kolonne27],BUDGET!$B86)</f>
        <v>0</v>
      </c>
      <c r="H86" s="75"/>
      <c r="I86" s="75"/>
      <c r="J86" s="75"/>
      <c r="K86" s="75"/>
      <c r="L86" s="75"/>
      <c r="M86" s="75"/>
      <c r="N86" s="75"/>
      <c r="O86" s="75"/>
      <c r="P86" s="75"/>
      <c r="Q86" s="40">
        <f t="shared" si="10"/>
        <v>0</v>
      </c>
    </row>
    <row r="87" spans="1:17" hidden="1" outlineLevel="1" x14ac:dyDescent="0.2">
      <c r="A87" s="45" t="s">
        <v>43</v>
      </c>
      <c r="B87" s="45">
        <v>106</v>
      </c>
      <c r="C87" s="33"/>
      <c r="D87" s="13"/>
      <c r="E87" s="47">
        <f>SUMIFS(actual_temp[Kolonne26],actual_temp[Kolonne8],BUDGET!E$3,actual_temp[Kolonne27],BUDGET!$B87)</f>
        <v>0</v>
      </c>
      <c r="F87" s="47">
        <f>SUMIFS(actual_temp[Kolonne26],actual_temp[Kolonne8],BUDGET!F$3,actual_temp[Kolonne27],BUDGET!$B87)</f>
        <v>0</v>
      </c>
      <c r="G87" s="47">
        <f>SUMIFS(actual_temp[Kolonne26],actual_temp[Kolonne8],BUDGET!G$3,actual_temp[Kolonne27],BUDGET!$B87)</f>
        <v>0</v>
      </c>
      <c r="H87" s="75"/>
      <c r="I87" s="75"/>
      <c r="J87" s="75"/>
      <c r="K87" s="75"/>
      <c r="L87" s="75"/>
      <c r="M87" s="75"/>
      <c r="N87" s="75"/>
      <c r="O87" s="75"/>
      <c r="P87" s="75"/>
      <c r="Q87" s="40">
        <f t="shared" si="10"/>
        <v>0</v>
      </c>
    </row>
    <row r="88" spans="1:17" hidden="1" outlineLevel="1" x14ac:dyDescent="0.2">
      <c r="A88" s="45" t="s">
        <v>43</v>
      </c>
      <c r="B88" s="45">
        <v>107</v>
      </c>
      <c r="C88" s="33"/>
      <c r="D88" s="13"/>
      <c r="E88" s="47">
        <f>SUMIFS(actual_temp[Kolonne26],actual_temp[Kolonne8],BUDGET!E$3,actual_temp[Kolonne27],BUDGET!$B88)</f>
        <v>0</v>
      </c>
      <c r="F88" s="47">
        <f>SUMIFS(actual_temp[Kolonne26],actual_temp[Kolonne8],BUDGET!F$3,actual_temp[Kolonne27],BUDGET!$B88)</f>
        <v>0</v>
      </c>
      <c r="G88" s="47">
        <f>SUMIFS(actual_temp[Kolonne26],actual_temp[Kolonne8],BUDGET!G$3,actual_temp[Kolonne27],BUDGET!$B88)</f>
        <v>0</v>
      </c>
      <c r="H88" s="75"/>
      <c r="I88" s="75"/>
      <c r="J88" s="75"/>
      <c r="K88" s="75"/>
      <c r="L88" s="75"/>
      <c r="M88" s="75"/>
      <c r="N88" s="75"/>
      <c r="O88" s="75"/>
      <c r="P88" s="75"/>
      <c r="Q88" s="40">
        <f t="shared" si="10"/>
        <v>0</v>
      </c>
    </row>
    <row r="89" spans="1:17" hidden="1" outlineLevel="1" x14ac:dyDescent="0.2">
      <c r="A89" s="45" t="s">
        <v>43</v>
      </c>
      <c r="B89" s="45">
        <v>108</v>
      </c>
      <c r="C89" s="33"/>
      <c r="D89" s="13"/>
      <c r="E89" s="47">
        <f>SUMIFS(actual_temp[Kolonne26],actual_temp[Kolonne8],BUDGET!E$3,actual_temp[Kolonne27],BUDGET!$B89)</f>
        <v>0</v>
      </c>
      <c r="F89" s="47">
        <f>SUMIFS(actual_temp[Kolonne26],actual_temp[Kolonne8],BUDGET!F$3,actual_temp[Kolonne27],BUDGET!$B89)</f>
        <v>0</v>
      </c>
      <c r="G89" s="47">
        <f>SUMIFS(actual_temp[Kolonne26],actual_temp[Kolonne8],BUDGET!G$3,actual_temp[Kolonne27],BUDGET!$B89)</f>
        <v>0</v>
      </c>
      <c r="H89" s="75"/>
      <c r="I89" s="75"/>
      <c r="J89" s="75"/>
      <c r="K89" s="75"/>
      <c r="L89" s="75"/>
      <c r="M89" s="75"/>
      <c r="N89" s="75"/>
      <c r="O89" s="75"/>
      <c r="P89" s="75"/>
      <c r="Q89" s="40">
        <f t="shared" si="10"/>
        <v>0</v>
      </c>
    </row>
    <row r="90" spans="1:17" hidden="1" outlineLevel="1" x14ac:dyDescent="0.2">
      <c r="A90" s="45" t="s">
        <v>43</v>
      </c>
      <c r="B90" s="45">
        <v>109</v>
      </c>
      <c r="C90" s="33"/>
      <c r="D90" s="13"/>
      <c r="E90" s="47">
        <f>SUMIFS(actual_temp[Kolonne26],actual_temp[Kolonne8],BUDGET!E$3,actual_temp[Kolonne27],BUDGET!$B90)</f>
        <v>0</v>
      </c>
      <c r="F90" s="47">
        <f>SUMIFS(actual_temp[Kolonne26],actual_temp[Kolonne8],BUDGET!F$3,actual_temp[Kolonne27],BUDGET!$B90)</f>
        <v>0</v>
      </c>
      <c r="G90" s="47">
        <f>SUMIFS(actual_temp[Kolonne26],actual_temp[Kolonne8],BUDGET!G$3,actual_temp[Kolonne27],BUDGET!$B90)</f>
        <v>0</v>
      </c>
      <c r="H90" s="75"/>
      <c r="I90" s="75"/>
      <c r="J90" s="75"/>
      <c r="K90" s="75"/>
      <c r="L90" s="75"/>
      <c r="M90" s="75"/>
      <c r="N90" s="75"/>
      <c r="O90" s="75"/>
      <c r="P90" s="75"/>
      <c r="Q90" s="40">
        <f t="shared" si="10"/>
        <v>0</v>
      </c>
    </row>
    <row r="91" spans="1:17" hidden="1" outlineLevel="1" x14ac:dyDescent="0.2">
      <c r="A91" s="45" t="s">
        <v>43</v>
      </c>
      <c r="B91" s="45">
        <v>110</v>
      </c>
      <c r="C91" s="33"/>
      <c r="D91" s="13"/>
      <c r="E91" s="47">
        <f>SUMIFS(actual_temp[Kolonne26],actual_temp[Kolonne8],BUDGET!E$3,actual_temp[Kolonne27],BUDGET!$B91)</f>
        <v>0</v>
      </c>
      <c r="F91" s="47">
        <f>SUMIFS(actual_temp[Kolonne26],actual_temp[Kolonne8],BUDGET!F$3,actual_temp[Kolonne27],BUDGET!$B91)</f>
        <v>0</v>
      </c>
      <c r="G91" s="47">
        <f>SUMIFS(actual_temp[Kolonne26],actual_temp[Kolonne8],BUDGET!G$3,actual_temp[Kolonne27],BUDGET!$B91)</f>
        <v>0</v>
      </c>
      <c r="H91" s="75">
        <v>0</v>
      </c>
      <c r="I91" s="75">
        <v>0</v>
      </c>
      <c r="J91" s="75">
        <v>0</v>
      </c>
      <c r="K91" s="75">
        <v>0</v>
      </c>
      <c r="L91" s="75">
        <v>0</v>
      </c>
      <c r="M91" s="75">
        <v>0</v>
      </c>
      <c r="N91" s="75">
        <v>0</v>
      </c>
      <c r="O91" s="75">
        <v>0</v>
      </c>
      <c r="P91" s="75">
        <v>0</v>
      </c>
      <c r="Q91" s="40">
        <f t="shared" si="10"/>
        <v>0</v>
      </c>
    </row>
    <row r="92" spans="1:17" hidden="1" outlineLevel="1" x14ac:dyDescent="0.2">
      <c r="A92" s="45" t="s">
        <v>43</v>
      </c>
      <c r="B92" s="45">
        <v>111</v>
      </c>
      <c r="C92" s="33"/>
      <c r="D92" s="13"/>
      <c r="E92" s="47">
        <f>SUMIFS(actual_temp[Kolonne26],actual_temp[Kolonne8],BUDGET!E$3,actual_temp[Kolonne27],BUDGET!$B92)</f>
        <v>0</v>
      </c>
      <c r="F92" s="47">
        <f>SUMIFS(actual_temp[Kolonne26],actual_temp[Kolonne8],BUDGET!F$3,actual_temp[Kolonne27],BUDGET!$B92)</f>
        <v>0</v>
      </c>
      <c r="G92" s="47">
        <f>SUMIFS(actual_temp[Kolonne26],actual_temp[Kolonne8],BUDGET!G$3,actual_temp[Kolonne27],BUDGET!$B92)</f>
        <v>0</v>
      </c>
      <c r="H92" s="75">
        <v>0</v>
      </c>
      <c r="I92" s="75">
        <v>0</v>
      </c>
      <c r="J92" s="75">
        <v>0</v>
      </c>
      <c r="K92" s="75">
        <v>0</v>
      </c>
      <c r="L92" s="75">
        <v>0</v>
      </c>
      <c r="M92" s="75">
        <v>0</v>
      </c>
      <c r="N92" s="75">
        <v>0</v>
      </c>
      <c r="O92" s="75">
        <v>0</v>
      </c>
      <c r="P92" s="75">
        <v>0</v>
      </c>
      <c r="Q92" s="40">
        <f>SUM(E92:P92)</f>
        <v>0</v>
      </c>
    </row>
    <row r="93" spans="1:17" hidden="1" outlineLevel="1" x14ac:dyDescent="0.2">
      <c r="A93" s="44"/>
      <c r="B93" s="44"/>
      <c r="C93" s="33"/>
      <c r="D93" s="12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9"/>
    </row>
    <row r="94" spans="1:17" hidden="1" outlineLevel="1" x14ac:dyDescent="0.2">
      <c r="A94" s="45" t="s">
        <v>43</v>
      </c>
      <c r="B94" s="45">
        <v>201</v>
      </c>
      <c r="C94" s="33"/>
      <c r="D94" s="13"/>
      <c r="E94" s="47">
        <f>SUMIFS(actual_temp[Kolonne26],actual_temp[Kolonne8],BUDGET!E$3,actual_temp[Kolonne27],BUDGET!$B94)</f>
        <v>0</v>
      </c>
      <c r="F94" s="47">
        <f>SUMIFS(actual_temp[Kolonne26],actual_temp[Kolonne8],BUDGET!F$3,actual_temp[Kolonne27],BUDGET!$B94)</f>
        <v>0</v>
      </c>
      <c r="G94" s="47">
        <f>SUMIFS(actual_temp[Kolonne26],actual_temp[Kolonne8],BUDGET!G$3,actual_temp[Kolonne27],BUDGET!$B94)</f>
        <v>0</v>
      </c>
      <c r="H94" s="75"/>
      <c r="I94" s="75"/>
      <c r="J94" s="75"/>
      <c r="K94" s="75"/>
      <c r="L94" s="75"/>
      <c r="M94" s="75"/>
      <c r="N94" s="75"/>
      <c r="O94" s="75"/>
      <c r="P94" s="75"/>
      <c r="Q94" s="40">
        <f t="shared" ref="Q94:Q105" si="11">SUM(E94:P94)</f>
        <v>0</v>
      </c>
    </row>
    <row r="95" spans="1:17" hidden="1" outlineLevel="1" x14ac:dyDescent="0.2">
      <c r="A95" s="45" t="s">
        <v>43</v>
      </c>
      <c r="B95" s="45">
        <v>202</v>
      </c>
      <c r="C95" s="33"/>
      <c r="D95" s="13"/>
      <c r="E95" s="47">
        <f>SUMIFS(actual_temp[Kolonne26],actual_temp[Kolonne8],BUDGET!E$3,actual_temp[Kolonne27],BUDGET!$B95)</f>
        <v>0</v>
      </c>
      <c r="F95" s="47">
        <f>SUMIFS(actual_temp[Kolonne26],actual_temp[Kolonne8],BUDGET!F$3,actual_temp[Kolonne27],BUDGET!$B95)</f>
        <v>0</v>
      </c>
      <c r="G95" s="47">
        <f>SUMIFS(actual_temp[Kolonne26],actual_temp[Kolonne8],BUDGET!G$3,actual_temp[Kolonne27],BUDGET!$B95)</f>
        <v>0</v>
      </c>
      <c r="H95" s="75"/>
      <c r="I95" s="75"/>
      <c r="J95" s="75"/>
      <c r="K95" s="75"/>
      <c r="L95" s="75"/>
      <c r="M95" s="75"/>
      <c r="N95" s="75"/>
      <c r="O95" s="75"/>
      <c r="P95" s="75"/>
      <c r="Q95" s="40">
        <f t="shared" si="11"/>
        <v>0</v>
      </c>
    </row>
    <row r="96" spans="1:17" hidden="1" outlineLevel="1" x14ac:dyDescent="0.2">
      <c r="A96" s="45" t="s">
        <v>43</v>
      </c>
      <c r="B96" s="45">
        <v>203</v>
      </c>
      <c r="C96" s="33"/>
      <c r="D96" s="13"/>
      <c r="E96" s="47">
        <f>SUMIFS(actual_temp[Kolonne26],actual_temp[Kolonne8],BUDGET!E$3,actual_temp[Kolonne27],BUDGET!$B96)</f>
        <v>0</v>
      </c>
      <c r="F96" s="47">
        <f>SUMIFS(actual_temp[Kolonne26],actual_temp[Kolonne8],BUDGET!F$3,actual_temp[Kolonne27],BUDGET!$B96)</f>
        <v>0</v>
      </c>
      <c r="G96" s="47">
        <f>SUMIFS(actual_temp[Kolonne26],actual_temp[Kolonne8],BUDGET!G$3,actual_temp[Kolonne27],BUDGET!$B96)</f>
        <v>0</v>
      </c>
      <c r="H96" s="75"/>
      <c r="I96" s="75"/>
      <c r="J96" s="75"/>
      <c r="K96" s="75"/>
      <c r="L96" s="75"/>
      <c r="M96" s="75"/>
      <c r="N96" s="75"/>
      <c r="O96" s="75"/>
      <c r="P96" s="75"/>
      <c r="Q96" s="40">
        <f t="shared" si="11"/>
        <v>0</v>
      </c>
    </row>
    <row r="97" spans="1:28" hidden="1" outlineLevel="1" x14ac:dyDescent="0.2">
      <c r="A97" s="45" t="s">
        <v>43</v>
      </c>
      <c r="B97" s="45">
        <v>204</v>
      </c>
      <c r="C97" s="33"/>
      <c r="D97" s="13"/>
      <c r="E97" s="47">
        <f>SUMIFS(actual_temp[Kolonne26],actual_temp[Kolonne8],BUDGET!E$3,actual_temp[Kolonne27],BUDGET!$B97)</f>
        <v>0</v>
      </c>
      <c r="F97" s="47">
        <f>SUMIFS(actual_temp[Kolonne26],actual_temp[Kolonne8],BUDGET!F$3,actual_temp[Kolonne27],BUDGET!$B97)</f>
        <v>0</v>
      </c>
      <c r="G97" s="47">
        <f>SUMIFS(actual_temp[Kolonne26],actual_temp[Kolonne8],BUDGET!G$3,actual_temp[Kolonne27],BUDGET!$B97)</f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40">
        <f t="shared" si="11"/>
        <v>0</v>
      </c>
    </row>
    <row r="98" spans="1:28" hidden="1" outlineLevel="1" x14ac:dyDescent="0.2">
      <c r="A98" s="45" t="s">
        <v>43</v>
      </c>
      <c r="B98" s="45">
        <v>205</v>
      </c>
      <c r="C98" s="33"/>
      <c r="D98" s="13"/>
      <c r="E98" s="47">
        <f>SUMIFS(actual_temp[Kolonne26],actual_temp[Kolonne8],BUDGET!E$3,actual_temp[Kolonne27],BUDGET!$B98)</f>
        <v>0</v>
      </c>
      <c r="F98" s="47">
        <f>SUMIFS(actual_temp[Kolonne26],actual_temp[Kolonne8],BUDGET!F$3,actual_temp[Kolonne27],BUDGET!$B98)</f>
        <v>0</v>
      </c>
      <c r="G98" s="47">
        <f>SUMIFS(actual_temp[Kolonne26],actual_temp[Kolonne8],BUDGET!G$3,actual_temp[Kolonne27],BUDGET!$B98)</f>
        <v>0</v>
      </c>
      <c r="H98" s="75">
        <v>0</v>
      </c>
      <c r="I98" s="75">
        <v>0</v>
      </c>
      <c r="J98" s="75">
        <v>0</v>
      </c>
      <c r="K98" s="75">
        <v>0</v>
      </c>
      <c r="L98" s="75">
        <v>0</v>
      </c>
      <c r="M98" s="75">
        <v>0</v>
      </c>
      <c r="N98" s="75">
        <v>0</v>
      </c>
      <c r="O98" s="75">
        <v>0</v>
      </c>
      <c r="P98" s="75">
        <v>0</v>
      </c>
      <c r="Q98" s="40">
        <f t="shared" si="11"/>
        <v>0</v>
      </c>
    </row>
    <row r="99" spans="1:28" hidden="1" outlineLevel="1" x14ac:dyDescent="0.2">
      <c r="A99" s="45" t="s">
        <v>43</v>
      </c>
      <c r="B99" s="45">
        <v>206</v>
      </c>
      <c r="C99" s="33"/>
      <c r="D99" s="13"/>
      <c r="E99" s="47">
        <f>SUMIFS(actual_temp[Kolonne26],actual_temp[Kolonne8],BUDGET!E$3,actual_temp[Kolonne27],BUDGET!$B99)</f>
        <v>0</v>
      </c>
      <c r="F99" s="47">
        <f>SUMIFS(actual_temp[Kolonne26],actual_temp[Kolonne8],BUDGET!F$3,actual_temp[Kolonne27],BUDGET!$B99)</f>
        <v>0</v>
      </c>
      <c r="G99" s="47">
        <f>SUMIFS(actual_temp[Kolonne26],actual_temp[Kolonne8],BUDGET!G$3,actual_temp[Kolonne27],BUDGET!$B99)</f>
        <v>0</v>
      </c>
      <c r="H99" s="75">
        <v>0</v>
      </c>
      <c r="I99" s="75">
        <v>0</v>
      </c>
      <c r="J99" s="75">
        <v>0</v>
      </c>
      <c r="K99" s="75">
        <v>0</v>
      </c>
      <c r="L99" s="75">
        <v>0</v>
      </c>
      <c r="M99" s="75">
        <v>0</v>
      </c>
      <c r="N99" s="75">
        <v>0</v>
      </c>
      <c r="O99" s="75">
        <v>0</v>
      </c>
      <c r="P99" s="75">
        <v>0</v>
      </c>
      <c r="Q99" s="40">
        <f t="shared" si="11"/>
        <v>0</v>
      </c>
      <c r="S99" s="7"/>
      <c r="T99" s="7"/>
      <c r="U99" s="7"/>
      <c r="V99" s="7"/>
      <c r="W99" s="7"/>
      <c r="X99" s="7"/>
      <c r="Y99" s="7"/>
      <c r="Z99" s="7"/>
      <c r="AA99" s="7"/>
      <c r="AB99" s="7"/>
    </row>
    <row r="100" spans="1:28" hidden="1" outlineLevel="1" x14ac:dyDescent="0.2">
      <c r="A100" s="45" t="s">
        <v>43</v>
      </c>
      <c r="B100" s="45">
        <v>207</v>
      </c>
      <c r="C100" s="33"/>
      <c r="D100" s="13"/>
      <c r="E100" s="47">
        <f>SUMIFS(actual_temp[Kolonne26],actual_temp[Kolonne8],BUDGET!E$3,actual_temp[Kolonne27],BUDGET!$B100)</f>
        <v>0</v>
      </c>
      <c r="F100" s="47">
        <f>SUMIFS(actual_temp[Kolonne26],actual_temp[Kolonne8],BUDGET!F$3,actual_temp[Kolonne27],BUDGET!$B100)</f>
        <v>0</v>
      </c>
      <c r="G100" s="47">
        <f>SUMIFS(actual_temp[Kolonne26],actual_temp[Kolonne8],BUDGET!G$3,actual_temp[Kolonne27],BUDGET!$B100)</f>
        <v>0</v>
      </c>
      <c r="H100" s="75">
        <v>0</v>
      </c>
      <c r="I100" s="75">
        <v>0</v>
      </c>
      <c r="J100" s="75">
        <v>0</v>
      </c>
      <c r="K100" s="75">
        <v>0</v>
      </c>
      <c r="L100" s="75">
        <v>0</v>
      </c>
      <c r="M100" s="75">
        <v>0</v>
      </c>
      <c r="N100" s="75">
        <v>0</v>
      </c>
      <c r="O100" s="75">
        <v>0</v>
      </c>
      <c r="P100" s="75">
        <v>0</v>
      </c>
      <c r="Q100" s="40">
        <f t="shared" si="11"/>
        <v>0</v>
      </c>
    </row>
    <row r="101" spans="1:28" hidden="1" outlineLevel="1" x14ac:dyDescent="0.2">
      <c r="A101" s="45" t="s">
        <v>43</v>
      </c>
      <c r="B101" s="45">
        <v>208</v>
      </c>
      <c r="C101" s="33"/>
      <c r="D101" s="13"/>
      <c r="E101" s="47">
        <f>SUMIFS(actual_temp[Kolonne26],actual_temp[Kolonne8],BUDGET!E$3,actual_temp[Kolonne27],BUDGET!$B101)</f>
        <v>0</v>
      </c>
      <c r="F101" s="47">
        <f>SUMIFS(actual_temp[Kolonne26],actual_temp[Kolonne8],BUDGET!F$3,actual_temp[Kolonne27],BUDGET!$B101)</f>
        <v>0</v>
      </c>
      <c r="G101" s="47">
        <f>SUMIFS(actual_temp[Kolonne26],actual_temp[Kolonne8],BUDGET!G$3,actual_temp[Kolonne27],BUDGET!$B101)</f>
        <v>0</v>
      </c>
      <c r="H101" s="75">
        <v>0</v>
      </c>
      <c r="I101" s="75">
        <v>0</v>
      </c>
      <c r="J101" s="75">
        <v>0</v>
      </c>
      <c r="K101" s="75">
        <v>0</v>
      </c>
      <c r="L101" s="75">
        <v>0</v>
      </c>
      <c r="M101" s="75">
        <v>0</v>
      </c>
      <c r="N101" s="75">
        <v>0</v>
      </c>
      <c r="O101" s="75">
        <v>0</v>
      </c>
      <c r="P101" s="75">
        <v>0</v>
      </c>
      <c r="Q101" s="40">
        <f t="shared" si="11"/>
        <v>0</v>
      </c>
    </row>
    <row r="102" spans="1:28" hidden="1" outlineLevel="1" x14ac:dyDescent="0.2">
      <c r="A102" s="45" t="s">
        <v>43</v>
      </c>
      <c r="B102" s="45">
        <v>209</v>
      </c>
      <c r="C102" s="33"/>
      <c r="D102" s="13"/>
      <c r="E102" s="47">
        <f>SUMIFS(actual_temp[Kolonne26],actual_temp[Kolonne8],BUDGET!E$3,actual_temp[Kolonne27],BUDGET!$B102)</f>
        <v>0</v>
      </c>
      <c r="F102" s="47">
        <f>SUMIFS(actual_temp[Kolonne26],actual_temp[Kolonne8],BUDGET!F$3,actual_temp[Kolonne27],BUDGET!$B102)</f>
        <v>0</v>
      </c>
      <c r="G102" s="47">
        <f>SUMIFS(actual_temp[Kolonne26],actual_temp[Kolonne8],BUDGET!G$3,actual_temp[Kolonne27],BUDGET!$B102)</f>
        <v>0</v>
      </c>
      <c r="H102" s="75">
        <v>0</v>
      </c>
      <c r="I102" s="75">
        <v>0</v>
      </c>
      <c r="J102" s="75">
        <v>0</v>
      </c>
      <c r="K102" s="75">
        <v>0</v>
      </c>
      <c r="L102" s="75">
        <v>0</v>
      </c>
      <c r="M102" s="75">
        <v>0</v>
      </c>
      <c r="N102" s="75">
        <v>0</v>
      </c>
      <c r="O102" s="75">
        <v>0</v>
      </c>
      <c r="P102" s="75">
        <v>0</v>
      </c>
      <c r="Q102" s="40">
        <f t="shared" si="11"/>
        <v>0</v>
      </c>
    </row>
    <row r="103" spans="1:28" hidden="1" outlineLevel="1" x14ac:dyDescent="0.2">
      <c r="A103" s="45" t="s">
        <v>43</v>
      </c>
      <c r="B103" s="45">
        <v>210</v>
      </c>
      <c r="C103" s="33"/>
      <c r="D103" s="13"/>
      <c r="E103" s="47">
        <f>SUMIFS(actual_temp[Kolonne26],actual_temp[Kolonne8],BUDGET!E$3,actual_temp[Kolonne27],BUDGET!$B103)</f>
        <v>0</v>
      </c>
      <c r="F103" s="47">
        <f>SUMIFS(actual_temp[Kolonne26],actual_temp[Kolonne8],BUDGET!F$3,actual_temp[Kolonne27],BUDGET!$B103)</f>
        <v>0</v>
      </c>
      <c r="G103" s="47">
        <f>SUMIFS(actual_temp[Kolonne26],actual_temp[Kolonne8],BUDGET!G$3,actual_temp[Kolonne27],BUDGET!$B103)</f>
        <v>0</v>
      </c>
      <c r="H103" s="75">
        <v>0</v>
      </c>
      <c r="I103" s="75">
        <v>0</v>
      </c>
      <c r="J103" s="75">
        <v>0</v>
      </c>
      <c r="K103" s="75">
        <v>0</v>
      </c>
      <c r="L103" s="75">
        <v>0</v>
      </c>
      <c r="M103" s="75">
        <v>0</v>
      </c>
      <c r="N103" s="75">
        <v>0</v>
      </c>
      <c r="O103" s="75">
        <v>0</v>
      </c>
      <c r="P103" s="75">
        <v>0</v>
      </c>
      <c r="Q103" s="40">
        <f t="shared" si="11"/>
        <v>0</v>
      </c>
    </row>
    <row r="104" spans="1:28" hidden="1" outlineLevel="1" x14ac:dyDescent="0.2">
      <c r="A104" s="45" t="s">
        <v>43</v>
      </c>
      <c r="B104" s="45">
        <v>211</v>
      </c>
      <c r="C104" s="33"/>
      <c r="D104" s="13"/>
      <c r="E104" s="47">
        <f>SUMIFS(actual_temp[Kolonne26],actual_temp[Kolonne8],BUDGET!E$3,actual_temp[Kolonne27],BUDGET!$B104)</f>
        <v>0</v>
      </c>
      <c r="F104" s="47">
        <f>SUMIFS(actual_temp[Kolonne26],actual_temp[Kolonne8],BUDGET!F$3,actual_temp[Kolonne27],BUDGET!$B104)</f>
        <v>0</v>
      </c>
      <c r="G104" s="47">
        <f>SUMIFS(actual_temp[Kolonne26],actual_temp[Kolonne8],BUDGET!G$3,actual_temp[Kolonne27],BUDGET!$B104)</f>
        <v>0</v>
      </c>
      <c r="H104" s="75">
        <v>0</v>
      </c>
      <c r="I104" s="75">
        <v>0</v>
      </c>
      <c r="J104" s="75">
        <v>0</v>
      </c>
      <c r="K104" s="75">
        <v>0</v>
      </c>
      <c r="L104" s="75">
        <v>0</v>
      </c>
      <c r="M104" s="75">
        <v>0</v>
      </c>
      <c r="N104" s="75">
        <v>0</v>
      </c>
      <c r="O104" s="75">
        <v>0</v>
      </c>
      <c r="P104" s="75">
        <v>0</v>
      </c>
      <c r="Q104" s="40">
        <f t="shared" si="11"/>
        <v>0</v>
      </c>
    </row>
    <row r="105" spans="1:28" hidden="1" outlineLevel="1" x14ac:dyDescent="0.2">
      <c r="A105" s="45" t="s">
        <v>43</v>
      </c>
      <c r="B105" s="45">
        <v>212</v>
      </c>
      <c r="C105" s="33"/>
      <c r="D105" s="13"/>
      <c r="E105" s="47">
        <f>SUMIFS(actual_temp[Kolonne26],actual_temp[Kolonne8],BUDGET!E$3,actual_temp[Kolonne27],BUDGET!$B105)</f>
        <v>0</v>
      </c>
      <c r="F105" s="47">
        <f>SUMIFS(actual_temp[Kolonne26],actual_temp[Kolonne8],BUDGET!F$3,actual_temp[Kolonne27],BUDGET!$B105)</f>
        <v>0</v>
      </c>
      <c r="G105" s="47">
        <f>SUMIFS(actual_temp[Kolonne26],actual_temp[Kolonne8],BUDGET!G$3,actual_temp[Kolonne27],BUDGET!$B105)</f>
        <v>0</v>
      </c>
      <c r="H105" s="75">
        <v>0</v>
      </c>
      <c r="I105" s="75">
        <v>0</v>
      </c>
      <c r="J105" s="75">
        <v>0</v>
      </c>
      <c r="K105" s="75">
        <v>0</v>
      </c>
      <c r="L105" s="75">
        <v>0</v>
      </c>
      <c r="M105" s="75">
        <v>0</v>
      </c>
      <c r="N105" s="75">
        <v>0</v>
      </c>
      <c r="O105" s="75">
        <v>0</v>
      </c>
      <c r="P105" s="75">
        <v>0</v>
      </c>
      <c r="Q105" s="40">
        <f t="shared" si="11"/>
        <v>0</v>
      </c>
    </row>
    <row r="106" spans="1:28" hidden="1" outlineLevel="1" x14ac:dyDescent="0.2">
      <c r="A106" s="45" t="s">
        <v>43</v>
      </c>
      <c r="B106" s="45">
        <v>213</v>
      </c>
      <c r="C106" s="33"/>
      <c r="D106" s="13"/>
      <c r="E106" s="47">
        <f>SUMIFS(actual_temp[Kolonne26],actual_temp[Kolonne8],BUDGET!E$3,actual_temp[Kolonne27],BUDGET!$B106)</f>
        <v>0</v>
      </c>
      <c r="F106" s="47">
        <f>SUMIFS(actual_temp[Kolonne26],actual_temp[Kolonne8],BUDGET!F$3,actual_temp[Kolonne27],BUDGET!$B106)</f>
        <v>0</v>
      </c>
      <c r="G106" s="47">
        <f>SUMIFS(actual_temp[Kolonne26],actual_temp[Kolonne8],BUDGET!G$3,actual_temp[Kolonne27],BUDGET!$B106)</f>
        <v>0</v>
      </c>
      <c r="H106" s="75">
        <v>0</v>
      </c>
      <c r="I106" s="75">
        <v>0</v>
      </c>
      <c r="J106" s="75">
        <v>0</v>
      </c>
      <c r="K106" s="75">
        <v>0</v>
      </c>
      <c r="L106" s="75">
        <v>0</v>
      </c>
      <c r="M106" s="75">
        <v>0</v>
      </c>
      <c r="N106" s="75">
        <v>0</v>
      </c>
      <c r="O106" s="75">
        <v>0</v>
      </c>
      <c r="P106" s="75">
        <v>0</v>
      </c>
      <c r="Q106" s="40">
        <f>SUM(E106:P106)</f>
        <v>0</v>
      </c>
    </row>
    <row r="107" spans="1:28" hidden="1" outlineLevel="1" x14ac:dyDescent="0.2">
      <c r="A107" s="46" t="s">
        <v>44</v>
      </c>
      <c r="B107" s="46" t="s">
        <v>49</v>
      </c>
      <c r="C107" s="33"/>
      <c r="D107" s="15"/>
      <c r="E107" s="40">
        <f t="shared" ref="E107:G107" si="12">SUM(E81:E106)</f>
        <v>0</v>
      </c>
      <c r="F107" s="40">
        <f t="shared" si="12"/>
        <v>0</v>
      </c>
      <c r="G107" s="40">
        <f t="shared" si="12"/>
        <v>0</v>
      </c>
      <c r="H107" s="40">
        <f t="shared" ref="H107:P107" si="13">SUM(H82:H106)</f>
        <v>0</v>
      </c>
      <c r="I107" s="40">
        <f t="shared" si="13"/>
        <v>0</v>
      </c>
      <c r="J107" s="40">
        <f t="shared" si="13"/>
        <v>0</v>
      </c>
      <c r="K107" s="40">
        <f t="shared" si="13"/>
        <v>0</v>
      </c>
      <c r="L107" s="40">
        <f t="shared" si="13"/>
        <v>0</v>
      </c>
      <c r="M107" s="40">
        <f t="shared" si="13"/>
        <v>0</v>
      </c>
      <c r="N107" s="40">
        <f t="shared" si="13"/>
        <v>0</v>
      </c>
      <c r="O107" s="40">
        <f t="shared" si="13"/>
        <v>0</v>
      </c>
      <c r="P107" s="40">
        <f t="shared" si="13"/>
        <v>0</v>
      </c>
      <c r="Q107" s="40">
        <f>SUM(E107:P107)</f>
        <v>0</v>
      </c>
    </row>
    <row r="108" spans="1:28" outlineLevel="1" x14ac:dyDescent="0.2">
      <c r="A108" s="41" t="s">
        <v>69</v>
      </c>
      <c r="B108" s="42"/>
      <c r="C108"/>
      <c r="D108" s="43" t="s">
        <v>72</v>
      </c>
      <c r="E108" s="43">
        <f>SUMIF(actual_temp[Kolonne8],E3,actual_temp[Kolonne26])</f>
        <v>0</v>
      </c>
      <c r="F108" s="43">
        <f>SUMIF(actual_temp[Kolonne8],F3,actual_temp[Kolonne26])</f>
        <v>0</v>
      </c>
      <c r="G108" s="43">
        <f>SUMIF(actual_temp[Kolonne8],G3,actual_temp[Kolonne26])</f>
        <v>0</v>
      </c>
      <c r="H108" s="43"/>
      <c r="I108" s="43"/>
      <c r="J108" s="43"/>
      <c r="K108" s="43"/>
      <c r="L108" s="43"/>
      <c r="M108" s="43"/>
      <c r="N108" s="43"/>
      <c r="O108" s="43"/>
      <c r="P108" s="43"/>
      <c r="Q108" s="43"/>
    </row>
    <row r="109" spans="1:28" outlineLevel="1" x14ac:dyDescent="0.2">
      <c r="A109" s="41" t="s">
        <v>69</v>
      </c>
      <c r="B109" s="42"/>
      <c r="C109"/>
      <c r="D109" s="43" t="s">
        <v>70</v>
      </c>
      <c r="E109" s="43">
        <f>+E108-E107</f>
        <v>0</v>
      </c>
      <c r="F109" s="43">
        <f>+F108-F107</f>
        <v>0</v>
      </c>
      <c r="G109" s="43">
        <f>+G108-G107</f>
        <v>0</v>
      </c>
      <c r="H109" s="43"/>
      <c r="I109" s="43"/>
      <c r="J109" s="43"/>
      <c r="K109" s="43"/>
      <c r="L109" s="43"/>
      <c r="M109" s="43"/>
      <c r="N109" s="43"/>
      <c r="O109" s="43"/>
      <c r="P109" s="43"/>
      <c r="Q109" s="43"/>
    </row>
    <row r="110" spans="1:28" outlineLevel="1" x14ac:dyDescent="0.2"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7"/>
      <c r="Q110" s="74"/>
      <c r="R110" s="19"/>
      <c r="S110" s="20"/>
    </row>
    <row r="111" spans="1:28" outlineLevel="1" x14ac:dyDescent="0.2"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01"/>
      <c r="Q111" s="101"/>
      <c r="R111" s="19"/>
      <c r="S111" s="20"/>
    </row>
    <row r="112" spans="1:28" outlineLevel="1" x14ac:dyDescent="0.2"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01"/>
      <c r="Q112" s="101"/>
      <c r="R112" s="19"/>
      <c r="S112" s="20"/>
    </row>
    <row r="113" spans="1:19" outlineLevel="1" x14ac:dyDescent="0.2"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21"/>
      <c r="Q113" s="21"/>
      <c r="R113" s="19"/>
      <c r="S113" s="20"/>
    </row>
    <row r="114" spans="1:19" outlineLevel="1" x14ac:dyDescent="0.2">
      <c r="E114" s="23"/>
      <c r="F114" s="23"/>
      <c r="G114" s="23"/>
      <c r="P114" s="19"/>
      <c r="Q114" s="20"/>
    </row>
    <row r="115" spans="1:19" x14ac:dyDescent="0.2">
      <c r="E115" s="23"/>
      <c r="F115" s="23"/>
      <c r="G115" s="23"/>
      <c r="P115" s="19"/>
      <c r="Q115" s="20"/>
    </row>
    <row r="116" spans="1:19" x14ac:dyDescent="0.2">
      <c r="G116" s="23"/>
    </row>
    <row r="117" spans="1:19" x14ac:dyDescent="0.2">
      <c r="A117" s="36" t="s">
        <v>41</v>
      </c>
      <c r="B117" s="36" t="s">
        <v>42</v>
      </c>
      <c r="C117" s="33"/>
      <c r="D117" s="67" t="s">
        <v>13</v>
      </c>
      <c r="E117" s="36" t="s">
        <v>1</v>
      </c>
      <c r="F117" s="36" t="s">
        <v>2</v>
      </c>
      <c r="G117" s="36" t="s">
        <v>3</v>
      </c>
      <c r="H117" s="36" t="s">
        <v>4</v>
      </c>
      <c r="I117" s="36" t="s">
        <v>5</v>
      </c>
      <c r="J117" s="36" t="s">
        <v>6</v>
      </c>
      <c r="K117" s="36" t="s">
        <v>7</v>
      </c>
      <c r="L117" s="36" t="s">
        <v>8</v>
      </c>
      <c r="M117" s="36" t="s">
        <v>9</v>
      </c>
      <c r="N117" s="36" t="s">
        <v>10</v>
      </c>
      <c r="O117" s="36" t="s">
        <v>11</v>
      </c>
      <c r="P117" s="36" t="s">
        <v>12</v>
      </c>
      <c r="Q117" s="36" t="s">
        <v>0</v>
      </c>
    </row>
    <row r="118" spans="1:19" x14ac:dyDescent="0.2">
      <c r="A118" s="44"/>
      <c r="B118" s="44"/>
      <c r="C118" s="33"/>
      <c r="D118" s="12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9"/>
    </row>
    <row r="119" spans="1:19" hidden="1" x14ac:dyDescent="0.2">
      <c r="A119" s="45" t="s">
        <v>43</v>
      </c>
      <c r="B119" s="45">
        <v>101</v>
      </c>
      <c r="C119" s="33"/>
      <c r="D119" s="13"/>
      <c r="E119" s="79">
        <v>500</v>
      </c>
      <c r="F119" s="79">
        <v>500</v>
      </c>
      <c r="G119" s="79">
        <v>500</v>
      </c>
      <c r="H119" s="79">
        <v>10000</v>
      </c>
      <c r="I119" s="79">
        <v>500</v>
      </c>
      <c r="J119" s="79">
        <v>500</v>
      </c>
      <c r="K119" s="79">
        <v>0</v>
      </c>
      <c r="L119" s="79">
        <v>500</v>
      </c>
      <c r="M119" s="79">
        <v>10000</v>
      </c>
      <c r="N119" s="79">
        <v>500</v>
      </c>
      <c r="O119" s="79">
        <v>1000</v>
      </c>
      <c r="P119" s="79">
        <v>500</v>
      </c>
      <c r="Q119" s="40">
        <f t="shared" ref="Q119:Q128" si="14">SUM(E119:P119)</f>
        <v>25000</v>
      </c>
    </row>
    <row r="120" spans="1:19" hidden="1" x14ac:dyDescent="0.2">
      <c r="A120" s="45" t="s">
        <v>43</v>
      </c>
      <c r="B120" s="45">
        <v>102</v>
      </c>
      <c r="C120" s="33"/>
      <c r="D120" s="13"/>
      <c r="E120" s="79">
        <v>0</v>
      </c>
      <c r="F120" s="79">
        <v>35000</v>
      </c>
      <c r="G120" s="79">
        <v>15000</v>
      </c>
      <c r="H120" s="79">
        <v>0</v>
      </c>
      <c r="I120" s="79">
        <v>0</v>
      </c>
      <c r="J120" s="79">
        <v>0</v>
      </c>
      <c r="K120" s="79">
        <v>0</v>
      </c>
      <c r="L120" s="79">
        <v>0</v>
      </c>
      <c r="M120" s="79">
        <v>20000</v>
      </c>
      <c r="N120" s="79">
        <v>0</v>
      </c>
      <c r="O120" s="79">
        <v>0</v>
      </c>
      <c r="P120" s="79">
        <v>0</v>
      </c>
      <c r="Q120" s="40">
        <f t="shared" si="14"/>
        <v>70000</v>
      </c>
    </row>
    <row r="121" spans="1:19" hidden="1" x14ac:dyDescent="0.2">
      <c r="A121" s="45" t="s">
        <v>43</v>
      </c>
      <c r="B121" s="45">
        <v>103</v>
      </c>
      <c r="C121" s="33"/>
      <c r="D121" s="13"/>
      <c r="E121" s="79">
        <v>5000</v>
      </c>
      <c r="F121" s="79">
        <v>0</v>
      </c>
      <c r="G121" s="79">
        <v>0</v>
      </c>
      <c r="H121" s="79">
        <v>5000</v>
      </c>
      <c r="I121" s="79">
        <v>0</v>
      </c>
      <c r="J121" s="79">
        <v>0</v>
      </c>
      <c r="K121" s="79">
        <v>0</v>
      </c>
      <c r="L121" s="79">
        <v>5000</v>
      </c>
      <c r="M121" s="79">
        <v>0</v>
      </c>
      <c r="N121" s="79">
        <v>0</v>
      </c>
      <c r="O121" s="79">
        <v>5000</v>
      </c>
      <c r="P121" s="79">
        <v>0</v>
      </c>
      <c r="Q121" s="40">
        <f t="shared" si="14"/>
        <v>20000</v>
      </c>
    </row>
    <row r="122" spans="1:19" hidden="1" x14ac:dyDescent="0.2">
      <c r="A122" s="45" t="s">
        <v>43</v>
      </c>
      <c r="B122" s="45">
        <v>104</v>
      </c>
      <c r="C122" s="33"/>
      <c r="D122" s="13"/>
      <c r="E122" s="79">
        <v>0</v>
      </c>
      <c r="F122" s="79">
        <v>0</v>
      </c>
      <c r="G122" s="79">
        <v>4000</v>
      </c>
      <c r="H122" s="79">
        <v>0</v>
      </c>
      <c r="I122" s="79">
        <v>0</v>
      </c>
      <c r="J122" s="79">
        <v>0</v>
      </c>
      <c r="K122" s="79">
        <v>0</v>
      </c>
      <c r="L122" s="79">
        <v>29000</v>
      </c>
      <c r="M122" s="79">
        <v>9500</v>
      </c>
      <c r="N122" s="79">
        <v>1500</v>
      </c>
      <c r="O122" s="79">
        <v>1500</v>
      </c>
      <c r="P122" s="79">
        <v>29500</v>
      </c>
      <c r="Q122" s="40">
        <f t="shared" si="14"/>
        <v>75000</v>
      </c>
    </row>
    <row r="123" spans="1:19" hidden="1" x14ac:dyDescent="0.2">
      <c r="A123" s="45" t="s">
        <v>43</v>
      </c>
      <c r="B123" s="45">
        <v>105</v>
      </c>
      <c r="C123" s="33"/>
      <c r="D123" s="13"/>
      <c r="E123" s="79">
        <v>0</v>
      </c>
      <c r="F123" s="79" t="s">
        <v>80</v>
      </c>
      <c r="G123" s="79">
        <v>0</v>
      </c>
      <c r="H123" s="79">
        <v>7500</v>
      </c>
      <c r="I123" s="79"/>
      <c r="J123" s="79">
        <v>0</v>
      </c>
      <c r="K123" s="79">
        <v>0</v>
      </c>
      <c r="L123" s="79">
        <v>0</v>
      </c>
      <c r="M123" s="79">
        <v>7500</v>
      </c>
      <c r="N123" s="79">
        <v>0</v>
      </c>
      <c r="O123" s="79">
        <v>0</v>
      </c>
      <c r="P123" s="79">
        <v>0</v>
      </c>
      <c r="Q123" s="40">
        <f t="shared" si="14"/>
        <v>15000</v>
      </c>
    </row>
    <row r="124" spans="1:19" hidden="1" x14ac:dyDescent="0.2">
      <c r="A124" s="45" t="s">
        <v>43</v>
      </c>
      <c r="B124" s="45">
        <v>106</v>
      </c>
      <c r="C124" s="33"/>
      <c r="D124" s="13"/>
      <c r="E124" s="79">
        <v>0</v>
      </c>
      <c r="F124" s="79">
        <v>0</v>
      </c>
      <c r="G124" s="79">
        <v>5000</v>
      </c>
      <c r="H124" s="79">
        <v>5000</v>
      </c>
      <c r="I124" s="79">
        <v>0</v>
      </c>
      <c r="J124" s="79">
        <v>0</v>
      </c>
      <c r="K124" s="79">
        <v>0</v>
      </c>
      <c r="L124" s="79">
        <v>5000</v>
      </c>
      <c r="M124" s="79">
        <v>0</v>
      </c>
      <c r="N124" s="79">
        <v>0</v>
      </c>
      <c r="O124" s="79">
        <v>5000</v>
      </c>
      <c r="P124" s="79">
        <v>0</v>
      </c>
      <c r="Q124" s="40">
        <f t="shared" si="14"/>
        <v>20000</v>
      </c>
    </row>
    <row r="125" spans="1:19" hidden="1" x14ac:dyDescent="0.2">
      <c r="A125" s="45" t="s">
        <v>43</v>
      </c>
      <c r="B125" s="45">
        <v>107</v>
      </c>
      <c r="C125" s="33"/>
      <c r="D125" s="13"/>
      <c r="E125" s="79">
        <v>0</v>
      </c>
      <c r="F125" s="79">
        <v>0</v>
      </c>
      <c r="G125" s="79">
        <v>0</v>
      </c>
      <c r="H125" s="79">
        <v>0</v>
      </c>
      <c r="I125" s="79">
        <v>2500</v>
      </c>
      <c r="J125" s="79">
        <v>0</v>
      </c>
      <c r="K125" s="79">
        <v>0</v>
      </c>
      <c r="L125" s="79">
        <v>0</v>
      </c>
      <c r="M125" s="79">
        <v>2500</v>
      </c>
      <c r="N125" s="79">
        <v>5000</v>
      </c>
      <c r="O125" s="79">
        <v>0</v>
      </c>
      <c r="P125" s="79">
        <v>0</v>
      </c>
      <c r="Q125" s="40">
        <f t="shared" si="14"/>
        <v>10000</v>
      </c>
    </row>
    <row r="126" spans="1:19" hidden="1" x14ac:dyDescent="0.2">
      <c r="A126" s="45" t="s">
        <v>43</v>
      </c>
      <c r="B126" s="45">
        <v>108</v>
      </c>
      <c r="C126" s="33"/>
      <c r="D126" s="13"/>
      <c r="E126" s="79">
        <v>0</v>
      </c>
      <c r="F126" s="79">
        <v>0</v>
      </c>
      <c r="G126" s="79">
        <v>0</v>
      </c>
      <c r="H126" s="79">
        <v>0</v>
      </c>
      <c r="I126" s="79">
        <v>0</v>
      </c>
      <c r="J126" s="79">
        <v>0</v>
      </c>
      <c r="K126" s="79">
        <v>0</v>
      </c>
      <c r="L126" s="79">
        <v>0</v>
      </c>
      <c r="M126" s="79">
        <v>0</v>
      </c>
      <c r="N126" s="79">
        <v>0</v>
      </c>
      <c r="O126" s="79">
        <v>0</v>
      </c>
      <c r="P126" s="79">
        <v>0</v>
      </c>
      <c r="Q126" s="40">
        <f t="shared" si="14"/>
        <v>0</v>
      </c>
    </row>
    <row r="127" spans="1:19" hidden="1" x14ac:dyDescent="0.2">
      <c r="A127" s="45" t="s">
        <v>43</v>
      </c>
      <c r="B127" s="45">
        <v>109</v>
      </c>
      <c r="C127" s="33"/>
      <c r="D127" s="13"/>
      <c r="E127" s="79">
        <v>0</v>
      </c>
      <c r="F127" s="79">
        <v>0</v>
      </c>
      <c r="G127" s="79">
        <v>0</v>
      </c>
      <c r="H127" s="79">
        <v>0</v>
      </c>
      <c r="I127" s="79">
        <v>0</v>
      </c>
      <c r="J127" s="79">
        <v>0</v>
      </c>
      <c r="K127" s="79">
        <v>0</v>
      </c>
      <c r="L127" s="79">
        <v>0</v>
      </c>
      <c r="M127" s="79">
        <v>0</v>
      </c>
      <c r="N127" s="79">
        <v>0</v>
      </c>
      <c r="O127" s="79">
        <v>0</v>
      </c>
      <c r="P127" s="79">
        <v>0</v>
      </c>
      <c r="Q127" s="40">
        <f t="shared" si="14"/>
        <v>0</v>
      </c>
    </row>
    <row r="128" spans="1:19" hidden="1" x14ac:dyDescent="0.2">
      <c r="A128" s="45" t="s">
        <v>43</v>
      </c>
      <c r="B128" s="45">
        <v>110</v>
      </c>
      <c r="C128" s="33"/>
      <c r="D128" s="13"/>
      <c r="E128" s="79">
        <v>0</v>
      </c>
      <c r="F128" s="79">
        <v>0</v>
      </c>
      <c r="G128" s="79">
        <v>0</v>
      </c>
      <c r="H128" s="79">
        <v>0</v>
      </c>
      <c r="I128" s="79">
        <v>0</v>
      </c>
      <c r="J128" s="79">
        <v>0</v>
      </c>
      <c r="K128" s="79">
        <v>0</v>
      </c>
      <c r="L128" s="79">
        <v>0</v>
      </c>
      <c r="M128" s="79">
        <v>0</v>
      </c>
      <c r="N128" s="79">
        <v>0</v>
      </c>
      <c r="O128" s="79">
        <v>0</v>
      </c>
      <c r="P128" s="79">
        <v>0</v>
      </c>
      <c r="Q128" s="40">
        <f t="shared" si="14"/>
        <v>0</v>
      </c>
    </row>
    <row r="129" spans="1:17" hidden="1" x14ac:dyDescent="0.2">
      <c r="A129" s="45" t="s">
        <v>43</v>
      </c>
      <c r="B129" s="45">
        <v>111</v>
      </c>
      <c r="C129" s="33"/>
      <c r="D129" s="13"/>
      <c r="E129" s="79">
        <v>0</v>
      </c>
      <c r="F129" s="79">
        <v>0</v>
      </c>
      <c r="G129" s="79">
        <v>0</v>
      </c>
      <c r="H129" s="79">
        <v>0</v>
      </c>
      <c r="I129" s="79">
        <v>0</v>
      </c>
      <c r="J129" s="79">
        <v>0</v>
      </c>
      <c r="K129" s="79">
        <v>0</v>
      </c>
      <c r="L129" s="79">
        <v>0</v>
      </c>
      <c r="M129" s="79">
        <v>0</v>
      </c>
      <c r="N129" s="79">
        <v>0</v>
      </c>
      <c r="O129" s="79">
        <v>0</v>
      </c>
      <c r="P129" s="79">
        <v>0</v>
      </c>
      <c r="Q129" s="40">
        <f>SUM(E129:P129)</f>
        <v>0</v>
      </c>
    </row>
    <row r="130" spans="1:17" hidden="1" x14ac:dyDescent="0.2">
      <c r="A130" s="44"/>
      <c r="B130" s="44"/>
      <c r="C130" s="33"/>
      <c r="D130" s="12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9"/>
    </row>
    <row r="131" spans="1:17" hidden="1" x14ac:dyDescent="0.2">
      <c r="A131" s="45" t="s">
        <v>43</v>
      </c>
      <c r="B131" s="45">
        <v>201</v>
      </c>
      <c r="C131" s="33"/>
      <c r="D131" s="13"/>
      <c r="E131" s="79">
        <v>0</v>
      </c>
      <c r="F131" s="79">
        <v>25000</v>
      </c>
      <c r="G131" s="79">
        <v>25000</v>
      </c>
      <c r="H131" s="79">
        <v>25000</v>
      </c>
      <c r="I131" s="79">
        <v>15000</v>
      </c>
      <c r="J131" s="79">
        <v>0</v>
      </c>
      <c r="K131" s="79">
        <v>10000</v>
      </c>
      <c r="L131" s="79">
        <v>10000</v>
      </c>
      <c r="M131" s="79">
        <v>0</v>
      </c>
      <c r="N131" s="79">
        <v>10000</v>
      </c>
      <c r="O131" s="79">
        <v>10000</v>
      </c>
      <c r="P131" s="79">
        <v>0</v>
      </c>
      <c r="Q131" s="40">
        <f t="shared" ref="Q131:Q142" si="15">SUM(E131:P131)</f>
        <v>130000</v>
      </c>
    </row>
    <row r="132" spans="1:17" hidden="1" x14ac:dyDescent="0.2">
      <c r="A132" s="45" t="s">
        <v>43</v>
      </c>
      <c r="B132" s="45">
        <v>202</v>
      </c>
      <c r="C132" s="33"/>
      <c r="D132" s="13"/>
      <c r="E132" s="79">
        <v>0</v>
      </c>
      <c r="F132" s="79">
        <v>0</v>
      </c>
      <c r="G132" s="79">
        <v>0</v>
      </c>
      <c r="H132" s="79">
        <v>0</v>
      </c>
      <c r="I132" s="79">
        <v>0</v>
      </c>
      <c r="J132" s="79">
        <v>0</v>
      </c>
      <c r="K132" s="79">
        <v>0</v>
      </c>
      <c r="L132" s="79">
        <v>0</v>
      </c>
      <c r="M132" s="79">
        <v>0</v>
      </c>
      <c r="N132" s="79">
        <v>0</v>
      </c>
      <c r="O132" s="79">
        <v>0</v>
      </c>
      <c r="P132" s="79">
        <v>0</v>
      </c>
      <c r="Q132" s="40">
        <f t="shared" si="15"/>
        <v>0</v>
      </c>
    </row>
    <row r="133" spans="1:17" hidden="1" x14ac:dyDescent="0.2">
      <c r="A133" s="45" t="s">
        <v>43</v>
      </c>
      <c r="B133" s="45">
        <v>203</v>
      </c>
      <c r="C133" s="33"/>
      <c r="D133" s="13"/>
      <c r="E133" s="79">
        <v>0</v>
      </c>
      <c r="F133" s="79">
        <v>0</v>
      </c>
      <c r="G133" s="79">
        <v>0</v>
      </c>
      <c r="H133" s="79">
        <v>0</v>
      </c>
      <c r="I133" s="79">
        <v>0</v>
      </c>
      <c r="J133" s="79">
        <v>0</v>
      </c>
      <c r="K133" s="79">
        <v>0</v>
      </c>
      <c r="L133" s="79">
        <v>0</v>
      </c>
      <c r="M133" s="79">
        <v>0</v>
      </c>
      <c r="N133" s="79">
        <v>0</v>
      </c>
      <c r="O133" s="79">
        <v>0</v>
      </c>
      <c r="P133" s="79">
        <v>0</v>
      </c>
      <c r="Q133" s="40">
        <f t="shared" si="15"/>
        <v>0</v>
      </c>
    </row>
    <row r="134" spans="1:17" hidden="1" x14ac:dyDescent="0.2">
      <c r="A134" s="45" t="s">
        <v>43</v>
      </c>
      <c r="B134" s="45">
        <v>204</v>
      </c>
      <c r="C134" s="33"/>
      <c r="D134" s="13"/>
      <c r="E134" s="79">
        <v>0</v>
      </c>
      <c r="F134" s="79">
        <v>0</v>
      </c>
      <c r="G134" s="79">
        <v>0</v>
      </c>
      <c r="H134" s="79">
        <v>0</v>
      </c>
      <c r="I134" s="79">
        <v>0</v>
      </c>
      <c r="J134" s="79">
        <v>0</v>
      </c>
      <c r="K134" s="79">
        <v>0</v>
      </c>
      <c r="L134" s="79">
        <v>0</v>
      </c>
      <c r="M134" s="79">
        <v>0</v>
      </c>
      <c r="N134" s="79">
        <v>0</v>
      </c>
      <c r="O134" s="79">
        <v>0</v>
      </c>
      <c r="P134" s="79">
        <v>0</v>
      </c>
      <c r="Q134" s="40">
        <f t="shared" si="15"/>
        <v>0</v>
      </c>
    </row>
    <row r="135" spans="1:17" hidden="1" x14ac:dyDescent="0.2">
      <c r="A135" s="45" t="s">
        <v>43</v>
      </c>
      <c r="B135" s="45">
        <v>205</v>
      </c>
      <c r="C135" s="33"/>
      <c r="D135" s="13"/>
      <c r="E135" s="79">
        <v>0</v>
      </c>
      <c r="F135" s="79">
        <v>0</v>
      </c>
      <c r="G135" s="79">
        <v>0</v>
      </c>
      <c r="H135" s="79">
        <v>0</v>
      </c>
      <c r="I135" s="79">
        <v>0</v>
      </c>
      <c r="J135" s="79">
        <v>0</v>
      </c>
      <c r="K135" s="79">
        <v>0</v>
      </c>
      <c r="L135" s="79">
        <v>0</v>
      </c>
      <c r="M135" s="79">
        <v>0</v>
      </c>
      <c r="N135" s="79">
        <v>0</v>
      </c>
      <c r="O135" s="79">
        <v>0</v>
      </c>
      <c r="P135" s="79">
        <v>0</v>
      </c>
      <c r="Q135" s="40">
        <f t="shared" si="15"/>
        <v>0</v>
      </c>
    </row>
    <row r="136" spans="1:17" hidden="1" x14ac:dyDescent="0.2">
      <c r="A136" s="45" t="s">
        <v>43</v>
      </c>
      <c r="B136" s="45">
        <v>206</v>
      </c>
      <c r="C136" s="33"/>
      <c r="D136" s="13"/>
      <c r="E136" s="79">
        <v>0</v>
      </c>
      <c r="F136" s="79">
        <v>0</v>
      </c>
      <c r="G136" s="79">
        <v>0</v>
      </c>
      <c r="H136" s="79">
        <v>0</v>
      </c>
      <c r="I136" s="79">
        <v>0</v>
      </c>
      <c r="J136" s="79">
        <v>0</v>
      </c>
      <c r="K136" s="79">
        <v>0</v>
      </c>
      <c r="L136" s="79">
        <v>0</v>
      </c>
      <c r="M136" s="79">
        <v>0</v>
      </c>
      <c r="N136" s="79">
        <v>0</v>
      </c>
      <c r="O136" s="79">
        <v>0</v>
      </c>
      <c r="P136" s="79">
        <v>0</v>
      </c>
      <c r="Q136" s="40">
        <f t="shared" ref="Q136:Q141" si="16">SUM(E136:P136)</f>
        <v>0</v>
      </c>
    </row>
    <row r="137" spans="1:17" hidden="1" x14ac:dyDescent="0.2">
      <c r="A137" s="45" t="s">
        <v>43</v>
      </c>
      <c r="B137" s="45">
        <v>207</v>
      </c>
      <c r="C137" s="33"/>
      <c r="D137" s="13"/>
      <c r="E137" s="79">
        <v>0</v>
      </c>
      <c r="F137" s="79">
        <v>0</v>
      </c>
      <c r="G137" s="79">
        <v>0</v>
      </c>
      <c r="H137" s="79">
        <v>0</v>
      </c>
      <c r="I137" s="79">
        <v>0</v>
      </c>
      <c r="J137" s="79">
        <v>0</v>
      </c>
      <c r="K137" s="79">
        <v>0</v>
      </c>
      <c r="L137" s="79">
        <v>0</v>
      </c>
      <c r="M137" s="79">
        <v>0</v>
      </c>
      <c r="N137" s="79">
        <v>0</v>
      </c>
      <c r="O137" s="79">
        <v>0</v>
      </c>
      <c r="P137" s="79">
        <v>0</v>
      </c>
      <c r="Q137" s="40">
        <f t="shared" si="16"/>
        <v>0</v>
      </c>
    </row>
    <row r="138" spans="1:17" hidden="1" x14ac:dyDescent="0.2">
      <c r="A138" s="45" t="s">
        <v>43</v>
      </c>
      <c r="B138" s="45">
        <v>208</v>
      </c>
      <c r="C138" s="33"/>
      <c r="D138" s="13"/>
      <c r="E138" s="79">
        <v>0</v>
      </c>
      <c r="F138" s="79">
        <v>0</v>
      </c>
      <c r="G138" s="79">
        <v>0</v>
      </c>
      <c r="H138" s="80">
        <v>0</v>
      </c>
      <c r="I138" s="80">
        <v>0</v>
      </c>
      <c r="J138" s="79">
        <v>0</v>
      </c>
      <c r="K138" s="79">
        <v>0</v>
      </c>
      <c r="L138" s="80">
        <v>0</v>
      </c>
      <c r="M138" s="79">
        <v>0</v>
      </c>
      <c r="N138" s="79">
        <v>0</v>
      </c>
      <c r="O138" s="79">
        <v>0</v>
      </c>
      <c r="P138" s="79">
        <v>0</v>
      </c>
      <c r="Q138" s="40">
        <f t="shared" si="16"/>
        <v>0</v>
      </c>
    </row>
    <row r="139" spans="1:17" hidden="1" x14ac:dyDescent="0.2">
      <c r="A139" s="45" t="s">
        <v>43</v>
      </c>
      <c r="B139" s="45">
        <v>209</v>
      </c>
      <c r="C139" s="33"/>
      <c r="D139" s="13"/>
      <c r="E139" s="79">
        <v>0</v>
      </c>
      <c r="F139" s="79">
        <v>0</v>
      </c>
      <c r="G139" s="79">
        <v>0</v>
      </c>
      <c r="H139" s="80">
        <v>0</v>
      </c>
      <c r="I139" s="80">
        <v>0</v>
      </c>
      <c r="J139" s="79">
        <v>0</v>
      </c>
      <c r="K139" s="79">
        <v>0</v>
      </c>
      <c r="L139" s="80">
        <v>0</v>
      </c>
      <c r="M139" s="79">
        <v>0</v>
      </c>
      <c r="N139" s="79">
        <v>0</v>
      </c>
      <c r="O139" s="79">
        <v>0</v>
      </c>
      <c r="P139" s="79">
        <v>0</v>
      </c>
      <c r="Q139" s="40">
        <f t="shared" si="16"/>
        <v>0</v>
      </c>
    </row>
    <row r="140" spans="1:17" hidden="1" x14ac:dyDescent="0.2">
      <c r="A140" s="45" t="s">
        <v>43</v>
      </c>
      <c r="B140" s="45">
        <v>210</v>
      </c>
      <c r="C140" s="33"/>
      <c r="D140" s="13"/>
      <c r="E140" s="79">
        <v>0</v>
      </c>
      <c r="F140" s="79">
        <v>0</v>
      </c>
      <c r="G140" s="79">
        <v>0</v>
      </c>
      <c r="H140" s="80">
        <v>0</v>
      </c>
      <c r="I140" s="80">
        <v>0</v>
      </c>
      <c r="J140" s="79">
        <v>0</v>
      </c>
      <c r="K140" s="79">
        <v>0</v>
      </c>
      <c r="L140" s="80">
        <v>0</v>
      </c>
      <c r="M140" s="79">
        <v>0</v>
      </c>
      <c r="N140" s="79">
        <v>0</v>
      </c>
      <c r="O140" s="79">
        <v>0</v>
      </c>
      <c r="P140" s="79">
        <v>0</v>
      </c>
      <c r="Q140" s="40">
        <f t="shared" si="16"/>
        <v>0</v>
      </c>
    </row>
    <row r="141" spans="1:17" hidden="1" x14ac:dyDescent="0.2">
      <c r="A141" s="45" t="s">
        <v>43</v>
      </c>
      <c r="B141" s="45">
        <v>211</v>
      </c>
      <c r="C141" s="33"/>
      <c r="D141" s="13"/>
      <c r="E141" s="79">
        <v>0</v>
      </c>
      <c r="F141" s="79">
        <v>0</v>
      </c>
      <c r="G141" s="79">
        <v>0</v>
      </c>
      <c r="H141" s="80">
        <v>0</v>
      </c>
      <c r="I141" s="80">
        <v>0</v>
      </c>
      <c r="J141" s="79">
        <v>0</v>
      </c>
      <c r="K141" s="79">
        <v>0</v>
      </c>
      <c r="L141" s="80">
        <v>0</v>
      </c>
      <c r="M141" s="79">
        <v>0</v>
      </c>
      <c r="N141" s="79">
        <v>0</v>
      </c>
      <c r="O141" s="79">
        <v>0</v>
      </c>
      <c r="P141" s="79">
        <v>0</v>
      </c>
      <c r="Q141" s="40">
        <f t="shared" si="16"/>
        <v>0</v>
      </c>
    </row>
    <row r="142" spans="1:17" hidden="1" x14ac:dyDescent="0.2">
      <c r="A142" s="45" t="s">
        <v>43</v>
      </c>
      <c r="B142" s="45">
        <v>212</v>
      </c>
      <c r="C142" s="33"/>
      <c r="D142" s="13"/>
      <c r="E142" s="79">
        <v>0</v>
      </c>
      <c r="F142" s="79">
        <v>0</v>
      </c>
      <c r="G142" s="79">
        <v>0</v>
      </c>
      <c r="H142" s="80">
        <v>0</v>
      </c>
      <c r="I142" s="80">
        <v>0</v>
      </c>
      <c r="J142" s="79">
        <v>0</v>
      </c>
      <c r="K142" s="79">
        <v>0</v>
      </c>
      <c r="L142" s="80">
        <v>0</v>
      </c>
      <c r="M142" s="79">
        <v>0</v>
      </c>
      <c r="N142" s="79">
        <v>0</v>
      </c>
      <c r="O142" s="79">
        <v>0</v>
      </c>
      <c r="P142" s="79">
        <v>0</v>
      </c>
      <c r="Q142" s="40">
        <f t="shared" si="15"/>
        <v>0</v>
      </c>
    </row>
    <row r="143" spans="1:17" hidden="1" x14ac:dyDescent="0.2">
      <c r="A143" s="45" t="s">
        <v>43</v>
      </c>
      <c r="B143" s="45">
        <v>213</v>
      </c>
      <c r="C143" s="33"/>
      <c r="D143" s="13"/>
      <c r="E143" s="79">
        <v>0</v>
      </c>
      <c r="F143" s="79">
        <v>0</v>
      </c>
      <c r="G143" s="79">
        <v>0</v>
      </c>
      <c r="H143" s="80">
        <v>0</v>
      </c>
      <c r="I143" s="80">
        <v>0</v>
      </c>
      <c r="J143" s="79">
        <v>0</v>
      </c>
      <c r="K143" s="79">
        <v>0</v>
      </c>
      <c r="L143" s="80">
        <v>0</v>
      </c>
      <c r="M143" s="79">
        <v>0</v>
      </c>
      <c r="N143" s="79">
        <v>0</v>
      </c>
      <c r="O143" s="79">
        <v>0</v>
      </c>
      <c r="P143" s="79">
        <v>0</v>
      </c>
      <c r="Q143" s="40">
        <f>SUM(E143:P143)</f>
        <v>0</v>
      </c>
    </row>
    <row r="144" spans="1:17" hidden="1" x14ac:dyDescent="0.2">
      <c r="A144" s="46" t="s">
        <v>44</v>
      </c>
      <c r="B144" s="46" t="s">
        <v>49</v>
      </c>
      <c r="C144" s="33"/>
      <c r="D144" s="15"/>
      <c r="E144" s="40">
        <f>SUM(E119:E143)</f>
        <v>5500</v>
      </c>
      <c r="F144" s="40">
        <f t="shared" ref="F144:P144" si="17">SUM(F119:F143)</f>
        <v>60500</v>
      </c>
      <c r="G144" s="40">
        <f t="shared" si="17"/>
        <v>49500</v>
      </c>
      <c r="H144" s="40">
        <f t="shared" si="17"/>
        <v>52500</v>
      </c>
      <c r="I144" s="40">
        <f t="shared" si="17"/>
        <v>18000</v>
      </c>
      <c r="J144" s="40">
        <f t="shared" si="17"/>
        <v>500</v>
      </c>
      <c r="K144" s="40">
        <f t="shared" si="17"/>
        <v>10000</v>
      </c>
      <c r="L144" s="40">
        <f t="shared" si="17"/>
        <v>49500</v>
      </c>
      <c r="M144" s="40">
        <f t="shared" si="17"/>
        <v>49500</v>
      </c>
      <c r="N144" s="40">
        <f t="shared" si="17"/>
        <v>17000</v>
      </c>
      <c r="O144" s="40">
        <f t="shared" si="17"/>
        <v>22500</v>
      </c>
      <c r="P144" s="40">
        <f t="shared" si="17"/>
        <v>30000</v>
      </c>
      <c r="Q144" s="40">
        <f>SUM(E144:P144)</f>
        <v>365000</v>
      </c>
    </row>
    <row r="145" spans="1:19" x14ac:dyDescent="0.2">
      <c r="A145" s="32"/>
      <c r="B145" s="32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70" t="s">
        <v>75</v>
      </c>
      <c r="Q145" s="69">
        <f>345000+20000</f>
        <v>365000</v>
      </c>
      <c r="R145" s="102"/>
      <c r="S145" s="102"/>
    </row>
    <row r="146" spans="1:19" x14ac:dyDescent="0.2">
      <c r="Q146" s="11">
        <f>Q144-Q145</f>
        <v>0</v>
      </c>
    </row>
    <row r="147" spans="1:19" x14ac:dyDescent="0.2">
      <c r="D147" s="71"/>
    </row>
    <row r="148" spans="1:19" x14ac:dyDescent="0.2">
      <c r="D148" s="72"/>
    </row>
    <row r="157" spans="1:19" ht="15" x14ac:dyDescent="0.2">
      <c r="D157" s="77"/>
    </row>
    <row r="158" spans="1:19" ht="15" x14ac:dyDescent="0.2">
      <c r="D158" s="78"/>
    </row>
    <row r="159" spans="1:19" ht="15" x14ac:dyDescent="0.2">
      <c r="D159" s="78"/>
    </row>
    <row r="160" spans="1:19" ht="15" x14ac:dyDescent="0.2">
      <c r="D160" s="77"/>
    </row>
    <row r="161" spans="4:4" ht="15" x14ac:dyDescent="0.2">
      <c r="D161" s="78"/>
    </row>
    <row r="162" spans="4:4" ht="15" x14ac:dyDescent="0.2">
      <c r="D162" s="78"/>
    </row>
    <row r="163" spans="4:4" ht="15" x14ac:dyDescent="0.2">
      <c r="D163" s="78"/>
    </row>
    <row r="164" spans="4:4" ht="15" x14ac:dyDescent="0.2">
      <c r="D164" s="77"/>
    </row>
    <row r="165" spans="4:4" ht="15" x14ac:dyDescent="0.2">
      <c r="D165" s="73"/>
    </row>
  </sheetData>
  <sheetProtection sheet="1" objects="1" scenarios="1"/>
  <mergeCells count="10">
    <mergeCell ref="E79:G79"/>
    <mergeCell ref="P111:Q111"/>
    <mergeCell ref="P112:Q112"/>
    <mergeCell ref="R145:S145"/>
    <mergeCell ref="E5:M5"/>
    <mergeCell ref="P37:Q37"/>
    <mergeCell ref="P38:Q38"/>
    <mergeCell ref="E42:J42"/>
    <mergeCell ref="P74:Q74"/>
    <mergeCell ref="P75:Q75"/>
  </mergeCells>
  <conditionalFormatting sqref="S110:S113 Q114:Q115 S73 Q77:Q78 S36:S39 Q40:Q41">
    <cfRule type="cellIs" dxfId="33" priority="7" stopIfTrue="1" operator="lessThan">
      <formula>-0.0499999</formula>
    </cfRule>
    <cfRule type="cellIs" dxfId="32" priority="8" stopIfTrue="1" operator="greaterThan">
      <formula>0.04999999</formula>
    </cfRule>
  </conditionalFormatting>
  <dataValidations count="1">
    <dataValidation type="list" allowBlank="1" showInputMessage="1" showErrorMessage="1" sqref="A82:A92 A8:A18 A20:A33 A94:A107 A45:A55 A57:A70 A119:A129 A131:A144" xr:uid="{00000000-0002-0000-0200-000000000000}">
      <formula1>data_validering</formula1>
    </dataValidation>
  </dataValidations>
  <pageMargins left="0.25" right="0.25" top="0.75" bottom="0.75" header="0.3" footer="0.3"/>
  <pageSetup paperSize="8" scale="9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47"/>
  <sheetViews>
    <sheetView showGridLines="0" topLeftCell="E1" zoomScale="70" zoomScaleNormal="70" workbookViewId="0">
      <selection activeCell="J15" sqref="J15"/>
    </sheetView>
  </sheetViews>
  <sheetFormatPr defaultColWidth="9.140625" defaultRowHeight="15" outlineLevelCol="1" x14ac:dyDescent="0.25"/>
  <cols>
    <col min="1" max="1" width="29.28515625" style="8" hidden="1" customWidth="1" outlineLevel="1"/>
    <col min="2" max="2" width="15.5703125" style="8" hidden="1" customWidth="1" outlineLevel="1"/>
    <col min="3" max="3" width="23.42578125" style="8" hidden="1" customWidth="1" outlineLevel="1"/>
    <col min="4" max="4" width="37.5703125" style="8" hidden="1" customWidth="1" outlineLevel="1"/>
    <col min="5" max="5" width="35.42578125" style="8" customWidth="1" collapsed="1"/>
    <col min="6" max="6" width="40.5703125" style="8" customWidth="1"/>
    <col min="7" max="7" width="11.5703125" style="8" hidden="1" customWidth="1" outlineLevel="1"/>
    <col min="8" max="8" width="12.28515625" style="8" hidden="1" customWidth="1" outlineLevel="1"/>
    <col min="9" max="9" width="18.28515625" style="8" customWidth="1" collapsed="1"/>
    <col min="10" max="10" width="14.7109375" style="8" customWidth="1"/>
    <col min="11" max="11" width="15.42578125" style="8" hidden="1" customWidth="1" outlineLevel="1"/>
    <col min="12" max="12" width="27.7109375" style="8" hidden="1" customWidth="1" collapsed="1"/>
    <col min="13" max="13" width="9.5703125" style="8" hidden="1" customWidth="1" outlineLevel="1"/>
    <col min="14" max="14" width="46.5703125" style="8" hidden="1" customWidth="1" collapsed="1"/>
    <col min="15" max="15" width="18.42578125" style="8" hidden="1" customWidth="1" outlineLevel="1"/>
    <col min="16" max="16" width="23.5703125" style="8" hidden="1" customWidth="1" collapsed="1"/>
    <col min="17" max="17" width="10.42578125" style="8" hidden="1" customWidth="1" outlineLevel="1"/>
    <col min="18" max="18" width="34.5703125" style="8" hidden="1" customWidth="1" collapsed="1"/>
    <col min="19" max="19" width="9.5703125" style="8" hidden="1" customWidth="1" outlineLevel="1"/>
    <col min="20" max="20" width="18.42578125" style="8" hidden="1" customWidth="1" collapsed="1"/>
    <col min="21" max="21" width="17.5703125" style="8" hidden="1" customWidth="1" outlineLevel="1"/>
    <col min="22" max="22" width="22.7109375" style="8" customWidth="1" collapsed="1"/>
    <col min="23" max="23" width="11.7109375" style="8" customWidth="1"/>
    <col min="24" max="24" width="10.5703125" style="8" customWidth="1"/>
    <col min="25" max="25" width="16.85546875" style="8" customWidth="1"/>
    <col min="26" max="26" width="9.7109375" style="8" bestFit="1" customWidth="1"/>
    <col min="27" max="27" width="9.140625" style="7"/>
    <col min="28" max="16384" width="9.140625" style="8"/>
  </cols>
  <sheetData>
    <row r="1" spans="1:27" x14ac:dyDescent="0.25">
      <c r="A1" s="6" t="s">
        <v>81</v>
      </c>
      <c r="B1" s="6" t="s">
        <v>82</v>
      </c>
      <c r="C1" s="6" t="s">
        <v>83</v>
      </c>
      <c r="D1" s="6" t="s">
        <v>84</v>
      </c>
      <c r="E1" s="6" t="s">
        <v>85</v>
      </c>
      <c r="F1" s="6" t="s">
        <v>86</v>
      </c>
      <c r="G1" s="6" t="s">
        <v>87</v>
      </c>
      <c r="H1" s="6" t="s">
        <v>88</v>
      </c>
      <c r="I1" s="6" t="s">
        <v>89</v>
      </c>
      <c r="J1" s="6" t="s">
        <v>90</v>
      </c>
      <c r="K1" s="6" t="s">
        <v>91</v>
      </c>
      <c r="L1" s="6" t="s">
        <v>92</v>
      </c>
      <c r="M1" s="6" t="s">
        <v>93</v>
      </c>
      <c r="N1" s="6" t="s">
        <v>94</v>
      </c>
      <c r="O1" s="6" t="s">
        <v>95</v>
      </c>
      <c r="P1" s="6" t="s">
        <v>96</v>
      </c>
      <c r="Q1" s="6" t="s">
        <v>97</v>
      </c>
      <c r="R1" s="6" t="s">
        <v>98</v>
      </c>
      <c r="S1" s="6" t="s">
        <v>99</v>
      </c>
      <c r="T1" s="6" t="s">
        <v>100</v>
      </c>
      <c r="U1" s="6" t="s">
        <v>101</v>
      </c>
      <c r="V1" s="6" t="s">
        <v>102</v>
      </c>
      <c r="W1" s="6" t="s">
        <v>103</v>
      </c>
      <c r="X1" s="6" t="s">
        <v>104</v>
      </c>
      <c r="Y1" s="6" t="s">
        <v>105</v>
      </c>
      <c r="Z1" s="6" t="s">
        <v>106</v>
      </c>
      <c r="AA1" s="7" t="s">
        <v>107</v>
      </c>
    </row>
    <row r="2" spans="1:27" s="7" customFormat="1" ht="12.75" x14ac:dyDescent="0.2">
      <c r="A2" s="91"/>
      <c r="B2" s="91"/>
      <c r="C2" s="91"/>
      <c r="D2" s="91"/>
      <c r="E2" s="91"/>
      <c r="F2" s="91"/>
      <c r="G2" s="91"/>
      <c r="H2" s="90"/>
      <c r="I2" s="91"/>
      <c r="J2" s="91"/>
      <c r="K2" s="90"/>
      <c r="L2" s="91"/>
      <c r="M2" s="90"/>
      <c r="N2" s="91"/>
      <c r="O2" s="90"/>
      <c r="P2" s="91"/>
      <c r="Q2" s="90"/>
      <c r="R2" s="91"/>
      <c r="S2" s="90"/>
      <c r="T2" s="91"/>
      <c r="U2" s="90"/>
      <c r="V2" s="91"/>
      <c r="W2" s="90"/>
      <c r="X2" s="91"/>
      <c r="Y2" s="89"/>
      <c r="Z2" s="94"/>
      <c r="AA2" s="68"/>
    </row>
    <row r="3" spans="1:27" s="7" customFormat="1" ht="12.75" x14ac:dyDescent="0.2">
      <c r="A3" s="91"/>
      <c r="B3" s="91"/>
      <c r="C3" s="91"/>
      <c r="D3" s="91"/>
      <c r="E3" s="91"/>
      <c r="F3" s="91"/>
      <c r="G3" s="91"/>
      <c r="H3" s="90"/>
      <c r="I3" s="91"/>
      <c r="J3" s="91"/>
      <c r="K3" s="90"/>
      <c r="L3" s="91"/>
      <c r="M3" s="90"/>
      <c r="N3" s="91"/>
      <c r="O3" s="90"/>
      <c r="P3" s="91"/>
      <c r="Q3" s="90"/>
      <c r="R3" s="91"/>
      <c r="S3" s="90"/>
      <c r="T3" s="91"/>
      <c r="U3" s="90"/>
      <c r="V3" s="91"/>
      <c r="W3" s="90"/>
      <c r="X3" s="91"/>
      <c r="Y3" s="89"/>
      <c r="Z3" s="94"/>
      <c r="AA3" s="68"/>
    </row>
    <row r="4" spans="1:27" s="7" customFormat="1" ht="12.75" x14ac:dyDescent="0.2">
      <c r="A4" s="91"/>
      <c r="B4" s="91"/>
      <c r="C4" s="91"/>
      <c r="D4" s="91"/>
      <c r="E4" s="91"/>
      <c r="F4" s="91"/>
      <c r="G4" s="91"/>
      <c r="H4" s="90"/>
      <c r="I4" s="91"/>
      <c r="J4" s="91"/>
      <c r="K4" s="90"/>
      <c r="L4" s="91"/>
      <c r="M4" s="90"/>
      <c r="N4" s="91"/>
      <c r="O4" s="90"/>
      <c r="P4" s="91"/>
      <c r="Q4" s="90"/>
      <c r="R4" s="91"/>
      <c r="S4" s="90"/>
      <c r="T4" s="91"/>
      <c r="U4" s="90"/>
      <c r="V4" s="91"/>
      <c r="W4" s="90"/>
      <c r="X4" s="91"/>
      <c r="Y4" s="89"/>
      <c r="Z4" s="94"/>
      <c r="AA4" s="68"/>
    </row>
    <row r="5" spans="1:27" s="7" customFormat="1" ht="12.75" x14ac:dyDescent="0.2">
      <c r="A5" s="91"/>
      <c r="B5" s="91"/>
      <c r="C5" s="91"/>
      <c r="D5" s="91"/>
      <c r="E5" s="91"/>
      <c r="F5" s="91"/>
      <c r="G5" s="91"/>
      <c r="H5" s="90"/>
      <c r="I5" s="91"/>
      <c r="J5" s="91"/>
      <c r="K5" s="90"/>
      <c r="L5" s="91"/>
      <c r="M5" s="90"/>
      <c r="N5" s="91"/>
      <c r="O5" s="90"/>
      <c r="P5" s="91"/>
      <c r="Q5" s="90"/>
      <c r="R5" s="91"/>
      <c r="S5" s="90"/>
      <c r="T5" s="91"/>
      <c r="U5" s="90"/>
      <c r="V5" s="91"/>
      <c r="W5" s="90"/>
      <c r="X5" s="91"/>
      <c r="Y5" s="89"/>
      <c r="Z5" s="94"/>
      <c r="AA5" s="68"/>
    </row>
    <row r="6" spans="1:27" s="7" customFormat="1" ht="12.75" x14ac:dyDescent="0.2">
      <c r="A6" s="91"/>
      <c r="B6" s="91"/>
      <c r="C6" s="91"/>
      <c r="D6" s="91"/>
      <c r="E6" s="91"/>
      <c r="F6" s="91"/>
      <c r="G6" s="91"/>
      <c r="H6" s="90"/>
      <c r="I6" s="91"/>
      <c r="J6" s="91"/>
      <c r="K6" s="90"/>
      <c r="L6" s="91"/>
      <c r="M6" s="90"/>
      <c r="N6" s="91"/>
      <c r="O6" s="90"/>
      <c r="P6" s="91"/>
      <c r="Q6" s="90"/>
      <c r="R6" s="91"/>
      <c r="S6" s="90"/>
      <c r="T6" s="91"/>
      <c r="U6" s="90"/>
      <c r="V6" s="91"/>
      <c r="W6" s="90"/>
      <c r="X6" s="91"/>
      <c r="Y6" s="89"/>
      <c r="Z6" s="94"/>
      <c r="AA6" s="68"/>
    </row>
    <row r="7" spans="1:27" s="7" customFormat="1" ht="12.75" x14ac:dyDescent="0.2">
      <c r="A7" s="91"/>
      <c r="B7" s="91"/>
      <c r="C7" s="91"/>
      <c r="D7" s="91"/>
      <c r="E7" s="91"/>
      <c r="F7" s="91"/>
      <c r="G7" s="91"/>
      <c r="H7" s="90"/>
      <c r="I7" s="91"/>
      <c r="J7" s="91"/>
      <c r="K7" s="90"/>
      <c r="L7" s="91"/>
      <c r="M7" s="90"/>
      <c r="N7" s="91"/>
      <c r="O7" s="90"/>
      <c r="P7" s="91"/>
      <c r="Q7" s="90"/>
      <c r="R7" s="91"/>
      <c r="S7" s="90"/>
      <c r="T7" s="91"/>
      <c r="U7" s="90"/>
      <c r="V7" s="91"/>
      <c r="W7" s="90"/>
      <c r="X7" s="91"/>
      <c r="Y7" s="89"/>
      <c r="Z7" s="94"/>
      <c r="AA7" s="68"/>
    </row>
    <row r="8" spans="1:27" s="7" customFormat="1" ht="12.75" x14ac:dyDescent="0.2">
      <c r="A8" s="91"/>
      <c r="B8" s="91"/>
      <c r="C8" s="91"/>
      <c r="D8" s="91"/>
      <c r="E8" s="91"/>
      <c r="F8" s="91"/>
      <c r="G8" s="91"/>
      <c r="H8" s="90"/>
      <c r="I8" s="91"/>
      <c r="J8" s="91"/>
      <c r="K8" s="90"/>
      <c r="L8" s="91"/>
      <c r="M8" s="90"/>
      <c r="N8" s="91"/>
      <c r="O8" s="90"/>
      <c r="P8" s="91"/>
      <c r="Q8" s="90"/>
      <c r="R8" s="91"/>
      <c r="S8" s="90"/>
      <c r="T8" s="91"/>
      <c r="U8" s="90"/>
      <c r="V8" s="91"/>
      <c r="W8" s="90"/>
      <c r="X8" s="91"/>
      <c r="Y8" s="89"/>
      <c r="Z8" s="94"/>
      <c r="AA8" s="68"/>
    </row>
    <row r="9" spans="1:27" s="7" customFormat="1" ht="12.75" x14ac:dyDescent="0.2">
      <c r="A9" s="91"/>
      <c r="B9" s="91"/>
      <c r="C9" s="91"/>
      <c r="D9" s="91"/>
      <c r="E9" s="91"/>
      <c r="F9" s="91"/>
      <c r="G9" s="91"/>
      <c r="H9" s="90"/>
      <c r="I9" s="91"/>
      <c r="J9" s="91"/>
      <c r="K9" s="90"/>
      <c r="L9" s="91"/>
      <c r="M9" s="90"/>
      <c r="N9" s="91"/>
      <c r="O9" s="90"/>
      <c r="P9" s="91"/>
      <c r="Q9" s="90"/>
      <c r="R9" s="91"/>
      <c r="S9" s="90"/>
      <c r="T9" s="91"/>
      <c r="U9" s="90"/>
      <c r="V9" s="91"/>
      <c r="W9" s="90"/>
      <c r="X9" s="91"/>
      <c r="Y9" s="89"/>
      <c r="Z9" s="94"/>
      <c r="AA9" s="68"/>
    </row>
    <row r="10" spans="1:27" s="7" customFormat="1" ht="12.75" x14ac:dyDescent="0.2">
      <c r="A10" s="91"/>
      <c r="B10" s="91"/>
      <c r="C10" s="91"/>
      <c r="D10" s="91"/>
      <c r="E10" s="91"/>
      <c r="F10" s="91"/>
      <c r="G10" s="91"/>
      <c r="H10" s="90"/>
      <c r="I10" s="91"/>
      <c r="J10" s="91"/>
      <c r="K10" s="90"/>
      <c r="L10" s="91"/>
      <c r="M10" s="90"/>
      <c r="N10" s="91"/>
      <c r="O10" s="90"/>
      <c r="P10" s="91"/>
      <c r="Q10" s="90"/>
      <c r="R10" s="91"/>
      <c r="S10" s="90"/>
      <c r="T10" s="91"/>
      <c r="U10" s="90"/>
      <c r="V10" s="91"/>
      <c r="W10" s="90"/>
      <c r="X10" s="91"/>
      <c r="Y10" s="89"/>
      <c r="Z10" s="94"/>
      <c r="AA10" s="68"/>
    </row>
    <row r="11" spans="1:27" s="7" customFormat="1" ht="12.75" x14ac:dyDescent="0.2">
      <c r="A11" s="81"/>
      <c r="B11" s="81"/>
      <c r="C11" s="81"/>
      <c r="D11" s="81"/>
      <c r="E11" s="81"/>
      <c r="F11" s="81"/>
      <c r="G11" s="81"/>
      <c r="H11" s="82"/>
      <c r="I11" s="81"/>
      <c r="J11" s="81"/>
      <c r="K11" s="82"/>
      <c r="L11" s="81"/>
      <c r="M11" s="82"/>
      <c r="N11" s="81"/>
      <c r="O11" s="82"/>
      <c r="P11" s="81"/>
      <c r="Q11" s="82"/>
      <c r="R11" s="81"/>
      <c r="S11" s="82"/>
      <c r="T11" s="81"/>
      <c r="U11" s="82"/>
      <c r="V11" s="81"/>
      <c r="W11" s="82"/>
      <c r="X11" s="81"/>
      <c r="Y11" s="83"/>
      <c r="Z11" s="84"/>
      <c r="AA11" s="68"/>
    </row>
    <row r="12" spans="1:27" s="7" customFormat="1" ht="12.75" x14ac:dyDescent="0.2">
      <c r="A12" s="81"/>
      <c r="B12" s="81"/>
      <c r="C12" s="81"/>
      <c r="D12" s="81"/>
      <c r="E12" s="81"/>
      <c r="F12" s="81"/>
      <c r="G12" s="81"/>
      <c r="H12" s="82"/>
      <c r="I12" s="81"/>
      <c r="J12" s="81"/>
      <c r="K12" s="82"/>
      <c r="L12" s="81"/>
      <c r="M12" s="82"/>
      <c r="N12" s="81"/>
      <c r="O12" s="82"/>
      <c r="P12" s="81"/>
      <c r="Q12" s="82"/>
      <c r="R12" s="81"/>
      <c r="S12" s="82"/>
      <c r="T12" s="81"/>
      <c r="U12" s="82"/>
      <c r="V12" s="81"/>
      <c r="W12" s="82"/>
      <c r="X12" s="81"/>
      <c r="Y12" s="83"/>
      <c r="Z12" s="84"/>
      <c r="AA12" s="68"/>
    </row>
    <row r="13" spans="1:27" s="7" customFormat="1" ht="12.75" x14ac:dyDescent="0.2">
      <c r="A13" s="81"/>
      <c r="B13" s="81"/>
      <c r="C13" s="81"/>
      <c r="D13" s="81"/>
      <c r="E13" s="81"/>
      <c r="F13" s="81"/>
      <c r="G13" s="81"/>
      <c r="H13" s="82"/>
      <c r="I13" s="81"/>
      <c r="J13" s="81"/>
      <c r="K13" s="82"/>
      <c r="L13" s="81"/>
      <c r="M13" s="82"/>
      <c r="N13" s="81"/>
      <c r="O13" s="82"/>
      <c r="P13" s="81"/>
      <c r="Q13" s="82"/>
      <c r="R13" s="81"/>
      <c r="S13" s="82"/>
      <c r="T13" s="81"/>
      <c r="U13" s="82"/>
      <c r="V13" s="81"/>
      <c r="W13" s="82"/>
      <c r="X13" s="81"/>
      <c r="Y13" s="83"/>
      <c r="Z13" s="84"/>
      <c r="AA13" s="68"/>
    </row>
    <row r="14" spans="1:27" s="7" customFormat="1" ht="12.75" x14ac:dyDescent="0.2">
      <c r="A14" s="81"/>
      <c r="B14" s="81"/>
      <c r="C14" s="81"/>
      <c r="D14" s="81"/>
      <c r="E14" s="81"/>
      <c r="F14" s="81"/>
      <c r="G14" s="81"/>
      <c r="H14" s="82"/>
      <c r="I14" s="81"/>
      <c r="J14" s="81"/>
      <c r="K14" s="82"/>
      <c r="L14" s="81"/>
      <c r="M14" s="82"/>
      <c r="N14" s="81"/>
      <c r="O14" s="82"/>
      <c r="P14" s="81"/>
      <c r="Q14" s="82"/>
      <c r="R14" s="81"/>
      <c r="S14" s="82"/>
      <c r="T14" s="81"/>
      <c r="U14" s="82"/>
      <c r="V14" s="81"/>
      <c r="W14" s="82"/>
      <c r="X14" s="81"/>
      <c r="Y14" s="83"/>
      <c r="Z14" s="84"/>
      <c r="AA14" s="68"/>
    </row>
    <row r="15" spans="1:27" s="7" customFormat="1" ht="12.75" x14ac:dyDescent="0.2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3"/>
      <c r="Z15" s="95"/>
      <c r="AA15" s="68"/>
    </row>
    <row r="16" spans="1:27" s="7" customFormat="1" ht="12.75" x14ac:dyDescent="0.2">
      <c r="A16" s="81"/>
      <c r="B16" s="81"/>
      <c r="C16" s="81"/>
      <c r="D16" s="81"/>
      <c r="E16" s="81"/>
      <c r="F16" s="81"/>
      <c r="G16" s="81"/>
      <c r="H16" s="82"/>
      <c r="I16" s="81"/>
      <c r="J16" s="81"/>
      <c r="K16" s="82"/>
      <c r="L16" s="81"/>
      <c r="M16" s="82"/>
      <c r="N16" s="81"/>
      <c r="O16" s="82"/>
      <c r="P16" s="81"/>
      <c r="Q16" s="82"/>
      <c r="R16" s="81"/>
      <c r="S16" s="82"/>
      <c r="T16" s="81"/>
      <c r="U16" s="82"/>
      <c r="V16" s="81"/>
      <c r="W16" s="82"/>
      <c r="X16" s="81"/>
      <c r="Y16" s="83"/>
      <c r="Z16" s="84"/>
      <c r="AA16" s="68"/>
    </row>
    <row r="17" spans="1:27" s="7" customFormat="1" ht="12.75" x14ac:dyDescent="0.2">
      <c r="A17" s="81"/>
      <c r="B17" s="81"/>
      <c r="C17" s="81"/>
      <c r="D17" s="81"/>
      <c r="E17" s="81"/>
      <c r="F17" s="81"/>
      <c r="G17" s="81"/>
      <c r="H17" s="82"/>
      <c r="I17" s="81"/>
      <c r="J17" s="81"/>
      <c r="K17" s="82"/>
      <c r="L17" s="81"/>
      <c r="M17" s="82"/>
      <c r="N17" s="81"/>
      <c r="O17" s="82"/>
      <c r="P17" s="81"/>
      <c r="Q17" s="82"/>
      <c r="R17" s="81"/>
      <c r="S17" s="82"/>
      <c r="T17" s="81"/>
      <c r="U17" s="82"/>
      <c r="V17" s="81"/>
      <c r="W17" s="82"/>
      <c r="X17" s="81"/>
      <c r="Y17" s="83"/>
      <c r="Z17" s="84"/>
      <c r="AA17" s="68"/>
    </row>
    <row r="18" spans="1:27" s="7" customFormat="1" ht="12.75" x14ac:dyDescent="0.2">
      <c r="A18" s="81"/>
      <c r="B18" s="81"/>
      <c r="C18" s="81"/>
      <c r="D18" s="81"/>
      <c r="E18" s="81"/>
      <c r="F18" s="81"/>
      <c r="G18" s="81"/>
      <c r="H18" s="82"/>
      <c r="I18" s="81"/>
      <c r="J18" s="81"/>
      <c r="K18" s="82"/>
      <c r="L18" s="81"/>
      <c r="M18" s="82"/>
      <c r="N18" s="81"/>
      <c r="O18" s="82"/>
      <c r="P18" s="81"/>
      <c r="Q18" s="82"/>
      <c r="R18" s="81"/>
      <c r="S18" s="82"/>
      <c r="T18" s="81"/>
      <c r="U18" s="82"/>
      <c r="V18" s="81"/>
      <c r="W18" s="82"/>
      <c r="X18" s="81"/>
      <c r="Y18" s="83"/>
      <c r="Z18" s="84"/>
      <c r="AA18" s="68"/>
    </row>
    <row r="19" spans="1:27" x14ac:dyDescent="0.25">
      <c r="A19" s="81"/>
      <c r="B19" s="81"/>
      <c r="C19" s="81"/>
      <c r="D19" s="81"/>
      <c r="E19" s="81"/>
      <c r="F19" s="81"/>
      <c r="G19" s="81"/>
      <c r="H19" s="82"/>
      <c r="I19" s="81"/>
      <c r="J19" s="81"/>
      <c r="K19" s="82"/>
      <c r="L19" s="81"/>
      <c r="M19" s="82"/>
      <c r="N19" s="81"/>
      <c r="O19" s="82"/>
      <c r="P19" s="81"/>
      <c r="Q19" s="82"/>
      <c r="R19" s="81"/>
      <c r="S19" s="82"/>
      <c r="T19" s="81"/>
      <c r="U19" s="82"/>
      <c r="V19" s="81"/>
      <c r="W19" s="82"/>
      <c r="X19" s="81"/>
      <c r="Y19" s="83"/>
      <c r="Z19" s="84"/>
      <c r="AA19" s="68"/>
    </row>
    <row r="20" spans="1:27" x14ac:dyDescent="0.25">
      <c r="A20" s="81"/>
      <c r="B20" s="81"/>
      <c r="C20" s="81"/>
      <c r="D20" s="81"/>
      <c r="E20" s="81"/>
      <c r="F20" s="81"/>
      <c r="G20" s="81"/>
      <c r="H20" s="82"/>
      <c r="I20" s="81"/>
      <c r="J20" s="81"/>
      <c r="K20" s="82"/>
      <c r="L20" s="81"/>
      <c r="M20" s="82"/>
      <c r="N20" s="81"/>
      <c r="O20" s="82"/>
      <c r="P20" s="81"/>
      <c r="Q20" s="82"/>
      <c r="R20" s="81"/>
      <c r="S20" s="82"/>
      <c r="T20" s="81"/>
      <c r="U20" s="82"/>
      <c r="V20" s="81"/>
      <c r="W20" s="82"/>
      <c r="X20" s="81"/>
      <c r="Y20" s="83"/>
      <c r="Z20" s="84"/>
      <c r="AA20" s="68"/>
    </row>
    <row r="21" spans="1:27" x14ac:dyDescent="0.25">
      <c r="A21" s="81"/>
      <c r="B21" s="81"/>
      <c r="C21" s="81"/>
      <c r="D21" s="81"/>
      <c r="E21" s="81"/>
      <c r="F21" s="81"/>
      <c r="G21" s="81"/>
      <c r="H21" s="82"/>
      <c r="I21" s="81"/>
      <c r="J21" s="81"/>
      <c r="K21" s="82"/>
      <c r="L21" s="81"/>
      <c r="M21" s="82"/>
      <c r="N21" s="81"/>
      <c r="O21" s="82"/>
      <c r="P21" s="81"/>
      <c r="Q21" s="82"/>
      <c r="R21" s="81"/>
      <c r="S21" s="82"/>
      <c r="T21" s="81"/>
      <c r="U21" s="82"/>
      <c r="V21" s="81"/>
      <c r="W21" s="82"/>
      <c r="X21" s="81"/>
      <c r="Y21" s="83"/>
      <c r="Z21" s="84"/>
      <c r="AA21" s="68"/>
    </row>
    <row r="22" spans="1:27" x14ac:dyDescent="0.25">
      <c r="A22" s="81"/>
      <c r="B22" s="81"/>
      <c r="C22" s="81"/>
      <c r="D22" s="81"/>
      <c r="E22" s="81"/>
      <c r="F22" s="81"/>
      <c r="G22" s="81"/>
      <c r="H22" s="82"/>
      <c r="I22" s="81"/>
      <c r="J22" s="81"/>
      <c r="K22" s="82"/>
      <c r="L22" s="81"/>
      <c r="M22" s="82"/>
      <c r="N22" s="81"/>
      <c r="O22" s="82"/>
      <c r="P22" s="81"/>
      <c r="Q22" s="82"/>
      <c r="R22" s="81"/>
      <c r="S22" s="82"/>
      <c r="T22" s="81"/>
      <c r="U22" s="82"/>
      <c r="V22" s="81"/>
      <c r="W22" s="82"/>
      <c r="X22" s="81"/>
      <c r="Y22" s="83"/>
      <c r="Z22" s="84"/>
      <c r="AA22" s="68"/>
    </row>
    <row r="23" spans="1:27" x14ac:dyDescent="0.25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3"/>
      <c r="Z23" s="95"/>
      <c r="AA23" s="68"/>
    </row>
    <row r="24" spans="1:27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3"/>
      <c r="Z24" s="95"/>
      <c r="AA24" s="68"/>
    </row>
    <row r="25" spans="1:27" x14ac:dyDescent="0.25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3"/>
      <c r="Z25" s="95"/>
      <c r="AA25" s="68"/>
    </row>
    <row r="26" spans="1:27" x14ac:dyDescent="0.25">
      <c r="A26" s="81"/>
      <c r="B26" s="81"/>
      <c r="C26" s="81"/>
      <c r="D26" s="81"/>
      <c r="E26" s="81"/>
      <c r="F26" s="81"/>
      <c r="G26" s="81"/>
      <c r="H26" s="82"/>
      <c r="I26" s="81"/>
      <c r="J26" s="81"/>
      <c r="K26" s="82"/>
      <c r="L26" s="81"/>
      <c r="M26" s="82"/>
      <c r="N26" s="81"/>
      <c r="O26" s="82"/>
      <c r="P26" s="81"/>
      <c r="Q26" s="82"/>
      <c r="R26" s="81"/>
      <c r="S26" s="82"/>
      <c r="T26" s="81"/>
      <c r="U26" s="82"/>
      <c r="V26" s="81"/>
      <c r="W26" s="82"/>
      <c r="X26" s="81"/>
      <c r="Y26" s="83"/>
      <c r="Z26" s="84"/>
      <c r="AA26" s="68"/>
    </row>
    <row r="27" spans="1:27" x14ac:dyDescent="0.25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3"/>
      <c r="Z27" s="95"/>
      <c r="AA27" s="68"/>
    </row>
    <row r="28" spans="1:27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3"/>
      <c r="Z28" s="95"/>
      <c r="AA28" s="68"/>
    </row>
    <row r="29" spans="1:27" x14ac:dyDescent="0.25">
      <c r="A29" s="81"/>
      <c r="B29" s="81"/>
      <c r="C29" s="81"/>
      <c r="D29" s="81"/>
      <c r="E29" s="81"/>
      <c r="F29" s="81"/>
      <c r="G29" s="81"/>
      <c r="H29" s="82"/>
      <c r="I29" s="81"/>
      <c r="J29" s="81"/>
      <c r="K29" s="82"/>
      <c r="L29" s="81"/>
      <c r="M29" s="82"/>
      <c r="N29" s="81"/>
      <c r="O29" s="82"/>
      <c r="P29" s="81"/>
      <c r="Q29" s="82"/>
      <c r="R29" s="81"/>
      <c r="S29" s="82"/>
      <c r="T29" s="81"/>
      <c r="U29" s="82"/>
      <c r="V29" s="81"/>
      <c r="W29" s="82"/>
      <c r="X29" s="81"/>
      <c r="Y29" s="83"/>
      <c r="Z29" s="84"/>
      <c r="AA29" s="68"/>
    </row>
    <row r="30" spans="1:27" x14ac:dyDescent="0.25">
      <c r="A30" s="81"/>
      <c r="B30" s="81"/>
      <c r="C30" s="81"/>
      <c r="D30" s="81"/>
      <c r="E30" s="81"/>
      <c r="F30" s="81"/>
      <c r="G30" s="81"/>
      <c r="H30" s="82"/>
      <c r="I30" s="81"/>
      <c r="J30" s="81"/>
      <c r="K30" s="82"/>
      <c r="L30" s="81"/>
      <c r="M30" s="82"/>
      <c r="N30" s="81"/>
      <c r="O30" s="82"/>
      <c r="P30" s="81"/>
      <c r="Q30" s="82"/>
      <c r="R30" s="81"/>
      <c r="S30" s="82"/>
      <c r="T30" s="81"/>
      <c r="U30" s="82"/>
      <c r="V30" s="81"/>
      <c r="W30" s="82"/>
      <c r="X30" s="81"/>
      <c r="Y30" s="83"/>
      <c r="Z30" s="84"/>
      <c r="AA30" s="68"/>
    </row>
    <row r="31" spans="1:27" x14ac:dyDescent="0.25">
      <c r="A31" s="81"/>
      <c r="B31" s="81"/>
      <c r="C31" s="81"/>
      <c r="D31" s="81"/>
      <c r="E31" s="81"/>
      <c r="F31" s="81"/>
      <c r="G31" s="81"/>
      <c r="H31" s="82"/>
      <c r="I31" s="81"/>
      <c r="J31" s="81"/>
      <c r="K31" s="82"/>
      <c r="L31" s="81"/>
      <c r="M31" s="82"/>
      <c r="N31" s="81"/>
      <c r="O31" s="82"/>
      <c r="P31" s="81"/>
      <c r="Q31" s="82"/>
      <c r="R31" s="81"/>
      <c r="S31" s="82"/>
      <c r="T31" s="81"/>
      <c r="U31" s="82"/>
      <c r="V31" s="81"/>
      <c r="W31" s="82"/>
      <c r="X31" s="81"/>
      <c r="Y31" s="83"/>
      <c r="Z31" s="84"/>
      <c r="AA31" s="68"/>
    </row>
    <row r="32" spans="1:27" x14ac:dyDescent="0.25">
      <c r="A32" s="81"/>
      <c r="B32" s="81"/>
      <c r="C32" s="81"/>
      <c r="D32" s="81"/>
      <c r="E32" s="81"/>
      <c r="F32" s="81"/>
      <c r="G32" s="81"/>
      <c r="H32" s="82"/>
      <c r="I32" s="81"/>
      <c r="J32" s="81"/>
      <c r="K32" s="82"/>
      <c r="L32" s="81"/>
      <c r="M32" s="82"/>
      <c r="N32" s="81"/>
      <c r="O32" s="82"/>
      <c r="P32" s="81"/>
      <c r="Q32" s="82"/>
      <c r="R32" s="81"/>
      <c r="S32" s="82"/>
      <c r="T32" s="81"/>
      <c r="U32" s="82"/>
      <c r="V32" s="81"/>
      <c r="W32" s="82"/>
      <c r="X32" s="81"/>
      <c r="Y32" s="83"/>
      <c r="Z32" s="84"/>
      <c r="AA32" s="68"/>
    </row>
    <row r="33" spans="1:27" x14ac:dyDescent="0.25">
      <c r="A33" s="81"/>
      <c r="B33" s="81"/>
      <c r="C33" s="81"/>
      <c r="D33" s="81"/>
      <c r="E33" s="81"/>
      <c r="F33" s="81"/>
      <c r="G33" s="81"/>
      <c r="H33" s="82"/>
      <c r="I33" s="81"/>
      <c r="J33" s="81"/>
      <c r="K33" s="82"/>
      <c r="L33" s="81"/>
      <c r="M33" s="82"/>
      <c r="N33" s="81"/>
      <c r="O33" s="82"/>
      <c r="P33" s="81"/>
      <c r="Q33" s="82"/>
      <c r="R33" s="81"/>
      <c r="S33" s="82"/>
      <c r="T33" s="81"/>
      <c r="U33" s="82"/>
      <c r="V33" s="81"/>
      <c r="W33" s="82"/>
      <c r="X33" s="81"/>
      <c r="Y33" s="83"/>
      <c r="Z33" s="84"/>
      <c r="AA33" s="68"/>
    </row>
    <row r="34" spans="1:27" x14ac:dyDescent="0.25">
      <c r="A34" s="81"/>
      <c r="B34" s="81"/>
      <c r="C34" s="81"/>
      <c r="D34" s="81"/>
      <c r="E34" s="81"/>
      <c r="F34" s="81"/>
      <c r="G34" s="81"/>
      <c r="H34" s="82"/>
      <c r="I34" s="81"/>
      <c r="J34" s="81"/>
      <c r="K34" s="82"/>
      <c r="L34" s="81"/>
      <c r="M34" s="82"/>
      <c r="N34" s="81"/>
      <c r="O34" s="82"/>
      <c r="P34" s="81"/>
      <c r="Q34" s="82"/>
      <c r="R34" s="81"/>
      <c r="S34" s="82"/>
      <c r="T34" s="81"/>
      <c r="U34" s="82"/>
      <c r="V34" s="81"/>
      <c r="W34" s="82"/>
      <c r="X34" s="81"/>
      <c r="Y34" s="83"/>
      <c r="Z34" s="84"/>
      <c r="AA34" s="68"/>
    </row>
    <row r="35" spans="1:27" x14ac:dyDescent="0.25">
      <c r="A35" s="81"/>
      <c r="B35" s="81"/>
      <c r="C35" s="81"/>
      <c r="D35" s="81"/>
      <c r="E35" s="81"/>
      <c r="F35" s="81"/>
      <c r="G35" s="81"/>
      <c r="H35" s="82"/>
      <c r="I35" s="81"/>
      <c r="J35" s="81"/>
      <c r="K35" s="82"/>
      <c r="L35" s="81"/>
      <c r="M35" s="82"/>
      <c r="N35" s="81"/>
      <c r="O35" s="82"/>
      <c r="P35" s="81"/>
      <c r="Q35" s="82"/>
      <c r="R35" s="81"/>
      <c r="S35" s="82"/>
      <c r="T35" s="81"/>
      <c r="U35" s="82"/>
      <c r="V35" s="81"/>
      <c r="W35" s="82"/>
      <c r="X35" s="81"/>
      <c r="Y35" s="83"/>
      <c r="Z35" s="84"/>
      <c r="AA35" s="68"/>
    </row>
    <row r="36" spans="1:27" x14ac:dyDescent="0.25">
      <c r="A36" s="81"/>
      <c r="B36" s="81"/>
      <c r="C36" s="81"/>
      <c r="D36" s="81"/>
      <c r="E36" s="81"/>
      <c r="F36" s="81"/>
      <c r="G36" s="81"/>
      <c r="H36" s="82"/>
      <c r="I36" s="81"/>
      <c r="J36" s="81"/>
      <c r="K36" s="82"/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3"/>
      <c r="Z36" s="84"/>
      <c r="AA36" s="68"/>
    </row>
    <row r="37" spans="1:27" x14ac:dyDescent="0.25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3"/>
      <c r="Z37" s="95"/>
      <c r="AA37" s="68"/>
    </row>
    <row r="38" spans="1:27" x14ac:dyDescent="0.25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3"/>
      <c r="Z38" s="95"/>
      <c r="AA38" s="68"/>
    </row>
    <row r="39" spans="1:27" x14ac:dyDescent="0.25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3"/>
      <c r="Z39" s="95"/>
      <c r="AA39" s="68"/>
    </row>
    <row r="40" spans="1:27" x14ac:dyDescent="0.25">
      <c r="A40" s="81"/>
      <c r="B40" s="81"/>
      <c r="C40" s="81"/>
      <c r="D40" s="81"/>
      <c r="E40" s="81"/>
      <c r="F40" s="81"/>
      <c r="G40" s="81"/>
      <c r="H40" s="82"/>
      <c r="I40" s="81"/>
      <c r="J40" s="81"/>
      <c r="K40" s="82"/>
      <c r="L40" s="81"/>
      <c r="M40" s="82"/>
      <c r="N40" s="81"/>
      <c r="O40" s="82"/>
      <c r="P40" s="81"/>
      <c r="Q40" s="82"/>
      <c r="R40" s="81"/>
      <c r="S40" s="82"/>
      <c r="T40" s="81"/>
      <c r="U40" s="82"/>
      <c r="V40" s="81"/>
      <c r="W40" s="82"/>
      <c r="X40" s="81"/>
      <c r="Y40" s="83"/>
      <c r="Z40" s="84"/>
      <c r="AA40" s="68"/>
    </row>
    <row r="41" spans="1:27" x14ac:dyDescent="0.25">
      <c r="A41" s="81"/>
      <c r="B41" s="81"/>
      <c r="C41" s="81"/>
      <c r="D41" s="81"/>
      <c r="E41" s="81"/>
      <c r="F41" s="81"/>
      <c r="G41" s="81"/>
      <c r="H41" s="82"/>
      <c r="I41" s="81"/>
      <c r="J41" s="81"/>
      <c r="K41" s="82"/>
      <c r="L41" s="81"/>
      <c r="M41" s="82"/>
      <c r="N41" s="81"/>
      <c r="O41" s="82"/>
      <c r="P41" s="81"/>
      <c r="Q41" s="82"/>
      <c r="R41" s="81"/>
      <c r="S41" s="82"/>
      <c r="T41" s="81"/>
      <c r="U41" s="82"/>
      <c r="V41" s="81"/>
      <c r="W41" s="82"/>
      <c r="X41" s="81"/>
      <c r="Y41" s="83"/>
      <c r="Z41" s="84"/>
      <c r="AA41" s="68"/>
    </row>
    <row r="42" spans="1:27" x14ac:dyDescent="0.25">
      <c r="A42" s="81"/>
      <c r="B42" s="81"/>
      <c r="C42" s="81"/>
      <c r="D42" s="81"/>
      <c r="E42" s="81"/>
      <c r="F42" s="81"/>
      <c r="G42" s="81"/>
      <c r="H42" s="82"/>
      <c r="I42" s="81"/>
      <c r="J42" s="81"/>
      <c r="K42" s="82"/>
      <c r="L42" s="81"/>
      <c r="M42" s="82"/>
      <c r="N42" s="81"/>
      <c r="O42" s="82"/>
      <c r="P42" s="81"/>
      <c r="Q42" s="82"/>
      <c r="R42" s="81"/>
      <c r="S42" s="82"/>
      <c r="T42" s="81"/>
      <c r="U42" s="82"/>
      <c r="V42" s="81"/>
      <c r="W42" s="82"/>
      <c r="X42" s="81"/>
      <c r="Y42" s="83"/>
      <c r="Z42" s="84"/>
      <c r="AA42" s="68"/>
    </row>
    <row r="43" spans="1:27" x14ac:dyDescent="0.25">
      <c r="A43" s="81"/>
      <c r="B43" s="81"/>
      <c r="C43" s="81"/>
      <c r="D43" s="81"/>
      <c r="E43" s="81"/>
      <c r="F43" s="81"/>
      <c r="G43" s="81"/>
      <c r="H43" s="82"/>
      <c r="I43" s="81"/>
      <c r="J43" s="81"/>
      <c r="K43" s="82"/>
      <c r="L43" s="81"/>
      <c r="M43" s="82"/>
      <c r="N43" s="81"/>
      <c r="O43" s="82"/>
      <c r="P43" s="81"/>
      <c r="Q43" s="82"/>
      <c r="R43" s="81"/>
      <c r="S43" s="82"/>
      <c r="T43" s="81"/>
      <c r="U43" s="82"/>
      <c r="V43" s="81"/>
      <c r="W43" s="82"/>
      <c r="X43" s="81"/>
      <c r="Y43" s="83"/>
      <c r="Z43" s="84"/>
      <c r="AA43" s="68"/>
    </row>
    <row r="44" spans="1:27" x14ac:dyDescent="0.25">
      <c r="A44" s="81"/>
      <c r="B44" s="81"/>
      <c r="C44" s="81"/>
      <c r="D44" s="81"/>
      <c r="E44" s="81"/>
      <c r="F44" s="81"/>
      <c r="G44" s="81"/>
      <c r="H44" s="82"/>
      <c r="I44" s="81"/>
      <c r="J44" s="81"/>
      <c r="K44" s="82"/>
      <c r="L44" s="81"/>
      <c r="M44" s="82"/>
      <c r="N44" s="81"/>
      <c r="O44" s="82"/>
      <c r="P44" s="81"/>
      <c r="Q44" s="82"/>
      <c r="R44" s="81"/>
      <c r="S44" s="82"/>
      <c r="T44" s="81"/>
      <c r="U44" s="82"/>
      <c r="V44" s="81"/>
      <c r="W44" s="82"/>
      <c r="X44" s="81"/>
      <c r="Y44" s="83"/>
      <c r="Z44" s="84"/>
      <c r="AA44" s="68"/>
    </row>
    <row r="45" spans="1:27" x14ac:dyDescent="0.25">
      <c r="A45" s="81"/>
      <c r="B45" s="81"/>
      <c r="C45" s="81"/>
      <c r="D45" s="81"/>
      <c r="E45" s="81"/>
      <c r="F45" s="81"/>
      <c r="G45" s="81"/>
      <c r="H45" s="82"/>
      <c r="I45" s="81"/>
      <c r="J45" s="81"/>
      <c r="K45" s="82"/>
      <c r="L45" s="81"/>
      <c r="M45" s="82"/>
      <c r="N45" s="81"/>
      <c r="O45" s="82"/>
      <c r="P45" s="81"/>
      <c r="Q45" s="82"/>
      <c r="R45" s="81"/>
      <c r="S45" s="82"/>
      <c r="T45" s="81"/>
      <c r="U45" s="82"/>
      <c r="V45" s="81"/>
      <c r="W45" s="82"/>
      <c r="X45" s="81"/>
      <c r="Y45" s="83"/>
      <c r="Z45" s="84"/>
      <c r="AA45" s="68"/>
    </row>
    <row r="46" spans="1:27" x14ac:dyDescent="0.25">
      <c r="A46" s="81"/>
      <c r="B46" s="81"/>
      <c r="C46" s="81"/>
      <c r="D46" s="81"/>
      <c r="E46" s="81"/>
      <c r="F46" s="81"/>
      <c r="G46" s="81"/>
      <c r="H46" s="82"/>
      <c r="I46" s="81"/>
      <c r="J46" s="81"/>
      <c r="K46" s="82"/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3"/>
      <c r="Z46" s="84"/>
      <c r="AA46" s="68"/>
    </row>
    <row r="47" spans="1:27" x14ac:dyDescent="0.25">
      <c r="A47" s="85"/>
      <c r="B47" s="85"/>
      <c r="C47" s="85"/>
      <c r="D47" s="85"/>
      <c r="E47" s="85"/>
      <c r="F47" s="85"/>
      <c r="G47" s="85"/>
      <c r="H47" s="86"/>
      <c r="I47" s="85"/>
      <c r="J47" s="85"/>
      <c r="K47" s="86"/>
      <c r="L47" s="85"/>
      <c r="M47" s="86"/>
      <c r="N47" s="85"/>
      <c r="O47" s="86"/>
      <c r="P47" s="85"/>
      <c r="Q47" s="86"/>
      <c r="R47" s="85"/>
      <c r="S47" s="86"/>
      <c r="T47" s="85"/>
      <c r="U47" s="86"/>
      <c r="V47" s="85"/>
      <c r="W47" s="86"/>
      <c r="X47" s="85"/>
      <c r="Y47" s="87"/>
      <c r="Z47" s="88"/>
      <c r="AA47" s="68"/>
    </row>
  </sheetData>
  <pageMargins left="0.25" right="0.25" top="0.75" bottom="0.75" header="0.3" footer="0.3"/>
  <pageSetup paperSize="8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19</vt:i4>
      </vt:variant>
    </vt:vector>
  </HeadingPairs>
  <TitlesOfParts>
    <vt:vector size="23" baseType="lpstr">
      <vt:lpstr>DATA_VALID</vt:lpstr>
      <vt:lpstr>SETUP</vt:lpstr>
      <vt:lpstr>BUDGET</vt:lpstr>
      <vt:lpstr>FORBRUG</vt:lpstr>
      <vt:lpstr>aktivitet_fra</vt:lpstr>
      <vt:lpstr>aktivitet_til</vt:lpstr>
      <vt:lpstr>artskonto_fra</vt:lpstr>
      <vt:lpstr>artskonto_til</vt:lpstr>
      <vt:lpstr>budget</vt:lpstr>
      <vt:lpstr>data_validering</vt:lpstr>
      <vt:lpstr>delregnskab_fra</vt:lpstr>
      <vt:lpstr>delregnskab_til</vt:lpstr>
      <vt:lpstr>omkostningssted_fra</vt:lpstr>
      <vt:lpstr>omkostningssted_til</vt:lpstr>
      <vt:lpstr>prognose1</vt:lpstr>
      <vt:lpstr>prognose2</vt:lpstr>
      <vt:lpstr>prognose3</vt:lpstr>
      <vt:lpstr>projekt_fra</vt:lpstr>
      <vt:lpstr>projekt_til</vt:lpstr>
      <vt:lpstr>tbl_dimensions</vt:lpstr>
      <vt:lpstr>title</vt:lpstr>
      <vt:lpstr>type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Asbjørn Skødt</cp:lastModifiedBy>
  <cp:lastPrinted>2017-04-07T08:52:20Z</cp:lastPrinted>
  <dcterms:created xsi:type="dcterms:W3CDTF">2012-01-17T10:43:19Z</dcterms:created>
  <dcterms:modified xsi:type="dcterms:W3CDTF">2022-09-24T10:08:29Z</dcterms:modified>
</cp:coreProperties>
</file>